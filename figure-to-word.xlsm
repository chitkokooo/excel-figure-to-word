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WNLOAD\2020.06.03\"/>
    </mc:Choice>
  </mc:AlternateContent>
  <xr:revisionPtr revIDLastSave="0" documentId="13_ncr:1_{21CB08AD-0992-4609-9B87-FBF3C3089182}" xr6:coauthVersionLast="44" xr6:coauthVersionMax="44" xr10:uidLastSave="{00000000-0000-0000-0000-000000000000}"/>
  <bookViews>
    <workbookView xWindow="-120" yWindow="-120" windowWidth="20730" windowHeight="11160" tabRatio="853" firstSheet="1" activeTab="1" xr2:uid="{00000000-000D-0000-FFFF-FFFF00000000}"/>
  </bookViews>
  <sheets>
    <sheet name="hidden_var" sheetId="16" state="hidden" r:id="rId1"/>
    <sheet name="figure to word" sheetId="21" r:id="rId2"/>
    <sheet name="deno tr tool" sheetId="15" r:id="rId3"/>
    <sheet name="trial tool" sheetId="20" r:id="rId4"/>
  </sheets>
  <functionGroups builtInGroupCount="19"/>
  <definedNames>
    <definedName name="credit">'deno tr tool'!$L$6</definedName>
    <definedName name="debit">'deno tr tool'!$L$4</definedName>
    <definedName name="is_mini">#REF!</definedName>
    <definedName name="IS_MINI_BANK">#REF!</definedName>
    <definedName name="n_type">'deno tr tool'!$B$19:$B$21</definedName>
    <definedName name="Note_Type">'deno tr tool'!$B$19:$D$21</definedName>
    <definedName name="Note_Type_old">'deno tr tool'!$B$19:$D$21</definedName>
    <definedName name="Notes">'deno tr tool'!$B$3</definedName>
    <definedName name="Notes_Type">'deno tr tool'!$B$19:$D$21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6" i="15" l="1"/>
  <c r="E2" i="21"/>
  <c r="I4" i="20" l="1"/>
  <c r="D5" i="20"/>
  <c r="D6" i="20" s="1"/>
  <c r="D7" i="20" s="1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D259" i="20" s="1"/>
  <c r="D260" i="20" s="1"/>
  <c r="D261" i="20" s="1"/>
  <c r="D262" i="20" s="1"/>
  <c r="D263" i="20" s="1"/>
  <c r="D264" i="20" s="1"/>
  <c r="D265" i="20" s="1"/>
  <c r="D266" i="20" s="1"/>
  <c r="D267" i="20" s="1"/>
  <c r="D268" i="20" s="1"/>
  <c r="D269" i="20" s="1"/>
  <c r="D270" i="20" s="1"/>
  <c r="D271" i="20" s="1"/>
  <c r="D272" i="20" s="1"/>
  <c r="D273" i="20" s="1"/>
  <c r="D274" i="20" s="1"/>
  <c r="D275" i="20" s="1"/>
  <c r="D276" i="20" s="1"/>
  <c r="D277" i="20" s="1"/>
  <c r="D278" i="20" s="1"/>
  <c r="D279" i="20" s="1"/>
  <c r="D280" i="20" s="1"/>
  <c r="D281" i="20" s="1"/>
  <c r="D282" i="20" s="1"/>
  <c r="D283" i="20" s="1"/>
  <c r="D284" i="20" s="1"/>
  <c r="D285" i="20" s="1"/>
  <c r="D286" i="20" s="1"/>
  <c r="D287" i="20" s="1"/>
  <c r="D288" i="20" s="1"/>
  <c r="D289" i="20" s="1"/>
  <c r="D290" i="20" s="1"/>
  <c r="D291" i="20" s="1"/>
  <c r="D292" i="20" s="1"/>
  <c r="D293" i="20" s="1"/>
  <c r="D294" i="20" s="1"/>
  <c r="D295" i="20" s="1"/>
  <c r="D296" i="20" s="1"/>
  <c r="D297" i="20" s="1"/>
  <c r="D298" i="20" s="1"/>
  <c r="D299" i="20" s="1"/>
  <c r="D300" i="20" s="1"/>
  <c r="D301" i="20" s="1"/>
  <c r="D302" i="20" s="1"/>
  <c r="D303" i="20" s="1"/>
  <c r="D304" i="20" s="1"/>
  <c r="I5" i="20" s="1"/>
  <c r="I6" i="20" l="1"/>
  <c r="I8" i="20"/>
  <c r="F4" i="15"/>
  <c r="F14" i="15"/>
  <c r="S15" i="15"/>
  <c r="R15" i="15"/>
  <c r="Q15" i="15"/>
  <c r="P15" i="15"/>
  <c r="F15" i="15"/>
  <c r="T14" i="15"/>
  <c r="U14" i="15" s="1"/>
  <c r="T13" i="15"/>
  <c r="U13" i="15" s="1"/>
  <c r="F13" i="15"/>
  <c r="T12" i="15"/>
  <c r="U12" i="15" s="1"/>
  <c r="F12" i="15"/>
  <c r="T11" i="15"/>
  <c r="U11" i="15" s="1"/>
  <c r="F11" i="15"/>
  <c r="T10" i="15"/>
  <c r="U10" i="15" s="1"/>
  <c r="F10" i="15"/>
  <c r="T9" i="15"/>
  <c r="U9" i="15" s="1"/>
  <c r="F9" i="15"/>
  <c r="T8" i="15"/>
  <c r="U8" i="15" s="1"/>
  <c r="F8" i="15"/>
  <c r="T7" i="15"/>
  <c r="U7" i="15" s="1"/>
  <c r="F7" i="15"/>
  <c r="U6" i="15"/>
  <c r="L6" i="15"/>
  <c r="F6" i="15"/>
  <c r="T5" i="15"/>
  <c r="U5" i="15" s="1"/>
  <c r="F5" i="15"/>
  <c r="T4" i="15"/>
  <c r="L4" i="15"/>
  <c r="T15" i="15" l="1"/>
  <c r="U4" i="15"/>
  <c r="U15" i="15" s="1"/>
  <c r="L8" i="15"/>
  <c r="F17" i="15" s="1"/>
  <c r="F16" i="15"/>
  <c r="F18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3" authorId="0" shapeId="0" xr:uid="{00000000-0006-0000-0C00-000001000000}">
      <text/>
    </comment>
    <comment ref="P3" authorId="0" shapeId="0" xr:uid="{00000000-0006-0000-0C00-000002000000}">
      <text>
        <r>
          <rPr>
            <b/>
            <sz val="8"/>
            <color indexed="81"/>
            <rFont val="Tahoma"/>
            <family val="2"/>
          </rPr>
          <t>1 box = 50 bundles = 500 packets = 50,000 looses</t>
        </r>
      </text>
    </comment>
    <comment ref="Q3" authorId="0" shapeId="0" xr:uid="{00000000-0006-0000-0C00-000003000000}">
      <text>
        <r>
          <rPr>
            <b/>
            <sz val="8"/>
            <color indexed="81"/>
            <rFont val="Tahoma"/>
            <family val="2"/>
          </rPr>
          <t>1 bundle = 10 packets = 1,000 looses</t>
        </r>
      </text>
    </comment>
    <comment ref="R3" authorId="0" shapeId="0" xr:uid="{00000000-0006-0000-0C00-000004000000}">
      <text>
        <r>
          <rPr>
            <b/>
            <sz val="8"/>
            <color indexed="81"/>
            <rFont val="Tahoma"/>
            <family val="2"/>
          </rPr>
          <t>1 packet = 100 looses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<sst xmlns="http://schemas.openxmlformats.org/spreadsheetml/2006/main" count="108" uniqueCount="76">
  <si>
    <t>x</t>
  </si>
  <si>
    <t>=</t>
  </si>
  <si>
    <t>Amount</t>
  </si>
  <si>
    <t>Remarks</t>
  </si>
  <si>
    <t>TOTAL</t>
  </si>
  <si>
    <t>Advanced Notes Checker</t>
  </si>
  <si>
    <t>Debit/Credit Balance</t>
  </si>
  <si>
    <t>Powerful Note Checker</t>
  </si>
  <si>
    <t>No</t>
  </si>
  <si>
    <t>Debit</t>
  </si>
  <si>
    <t>Credit</t>
  </si>
  <si>
    <t>Debit Total</t>
  </si>
  <si>
    <t>Note Type</t>
  </si>
  <si>
    <t>Boxes</t>
  </si>
  <si>
    <t>Bundles</t>
  </si>
  <si>
    <t>Packets</t>
  </si>
  <si>
    <t>Looses</t>
  </si>
  <si>
    <t>Total Notes</t>
  </si>
  <si>
    <t>Total Amount</t>
  </si>
  <si>
    <t>Credit Total</t>
  </si>
  <si>
    <t>Balance</t>
  </si>
  <si>
    <t>Coin</t>
  </si>
  <si>
    <t>Desired Amount</t>
  </si>
  <si>
    <t>Difference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</si>
  <si>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</si>
  <si>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</si>
  <si>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</si>
  <si>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</si>
  <si>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</si>
  <si>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</si>
  <si>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</si>
  <si>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</si>
  <si>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</si>
  <si>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ငါး</t>
  </si>
  <si>
    <t>ကိုး</t>
  </si>
  <si>
    <t>တိတိ</t>
  </si>
  <si>
    <t>ရာ</t>
  </si>
  <si>
    <t>khu</t>
  </si>
  <si>
    <t>sal</t>
  </si>
  <si>
    <t>yar</t>
  </si>
  <si>
    <t>htaung</t>
  </si>
  <si>
    <t>thaung</t>
  </si>
  <si>
    <t>thein</t>
  </si>
  <si>
    <t>kyat</t>
  </si>
  <si>
    <t>pya</t>
  </si>
  <si>
    <t>only</t>
  </si>
  <si>
    <t>TRIAL SIMULATOR</t>
  </si>
  <si>
    <t>Opening Balance</t>
  </si>
  <si>
    <t>Trial Balance</t>
  </si>
  <si>
    <t>Debit Amount</t>
  </si>
  <si>
    <t>Credit Amount</t>
  </si>
  <si>
    <t>Sr;</t>
  </si>
  <si>
    <t>Opening Amount</t>
  </si>
  <si>
    <t>Closing Amount</t>
  </si>
  <si>
    <t>Difference Amount</t>
  </si>
  <si>
    <t>User Specificed Amount</t>
  </si>
  <si>
    <t>Working Amount</t>
  </si>
  <si>
    <t>Subject</t>
  </si>
  <si>
    <t>Looses (ရွက်ရေ)</t>
  </si>
  <si>
    <t>Packets (အုပ်ရေ)</t>
  </si>
  <si>
    <t>Bundles (အစီးရေ)</t>
  </si>
  <si>
    <t>တစ်</t>
  </si>
  <si>
    <t>နှစ်</t>
  </si>
  <si>
    <t>သုံး</t>
  </si>
  <si>
    <t>လေး</t>
  </si>
  <si>
    <t>ခြောက်</t>
  </si>
  <si>
    <t>ခုနစ်</t>
  </si>
  <si>
    <t>ရှစ်</t>
  </si>
  <si>
    <t>ဆယ်</t>
  </si>
  <si>
    <t>ထောင်</t>
  </si>
  <si>
    <t>သောင်း</t>
  </si>
  <si>
    <t>သိန်း</t>
  </si>
  <si>
    <t>ကျပ်</t>
  </si>
  <si>
    <t>ပြား</t>
  </si>
  <si>
    <t>ဂဏန်း</t>
  </si>
  <si>
    <t>စာသား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</si>
</sst>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7" formatCode="* #,##0_);[Red]_(* \(#,##0\);[Red]_(* &quot;-&quot;??_);_(@_)"/>
    <numFmt numFmtId="168" formatCode="_(* #,##0.00_);_(* \(#,##0\);_(* &quot;-&quot;_);_(@_)"/>
  </numFmts>
  <fonts count="31"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b/>
      <sz val="11"/>
      <color theme="1"/>
      <name val="Consolas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theme="1"/>
      <name val="Consolas"/>
      <family val="3"/>
    </font>
    <font>
      <sz val="8"/>
      <color indexed="81"/>
      <name val="Zawgyi-One"/>
      <family val="2"/>
    </font>
    <font>
      <b/>
      <sz val="14"/>
      <color theme="1"/>
      <name val="Consolas"/>
      <family val="3"/>
    </font>
    <font>
      <sz val="11"/>
      <color rgb="FFC00000"/>
      <name val="Consolas"/>
      <family val="3"/>
    </font>
    <font>
      <sz val="11"/>
      <color theme="9" tint="-0.499984740745262"/>
      <name val="Consolas"/>
      <family val="3"/>
    </font>
    <font>
      <b/>
      <sz val="12"/>
      <color rgb="FFC00000"/>
      <name val="Consolas"/>
      <family val="3"/>
    </font>
    <font>
      <b/>
      <sz val="12"/>
      <color theme="9" tint="-0.499984740745262"/>
      <name val="Consolas"/>
      <family val="3"/>
    </font>
    <font>
      <sz val="11"/>
      <color theme="1"/>
      <name val="Pyidaungsu"/>
      <family val="2"/>
    </font>
    <font>
      <sz val="11"/>
      <color rgb="FFFF0000"/>
      <name val="Pyidaungsu"/>
      <family val="2"/>
    </font>
    <font>
      <sz val="11"/>
      <color rgb="FF0070C0"/>
      <name val="Pyidaungsu"/>
      <family val="2"/>
    </font>
    <font>
      <b/>
      <sz val="16"/>
      <color theme="1"/>
      <name val="Pyidaungsu"/>
      <family val="2"/>
    </font>
    <font>
      <b/>
      <sz val="16"/>
      <name val="Pyidaungsu"/>
      <family val="2"/>
    </font>
    <font>
      <sz val="12"/>
      <color theme="1"/>
      <name val="Pyidaungsu"/>
      <family val="2"/>
    </font>
    <font>
      <b/>
      <sz val="11"/>
      <color theme="1"/>
      <name val="Pyidaungsu"/>
      <family val="2"/>
    </font>
    <font>
      <b/>
      <sz val="11"/>
      <name val="Pyidaungsu"/>
      <family val="2"/>
    </font>
    <font>
      <b/>
      <sz val="14"/>
      <name val="Pyidaungsu"/>
      <family val="2"/>
    </font>
    <font>
      <sz val="11"/>
      <color theme="1" tint="0.249977111117893"/>
      <name val="Pyidaungsu"/>
      <family val="2"/>
    </font>
    <font>
      <b/>
      <sz val="12"/>
      <color rgb="FFFF0000"/>
      <name val="Pyidaungsu"/>
      <family val="2"/>
    </font>
    <font>
      <b/>
      <sz val="12"/>
      <color rgb="FF0070C0"/>
      <name val="Pyidaungsu"/>
      <family val="2"/>
    </font>
    <font>
      <b/>
      <sz val="12"/>
      <color theme="1"/>
      <name val="Pyidaungsu"/>
      <family val="2"/>
    </font>
    <font>
      <sz val="9"/>
      <color theme="1"/>
      <name val="Pyidaungsu"/>
      <family val="2"/>
    </font>
    <font>
      <sz val="10"/>
      <color theme="0" tint="-4.9989318521683403E-2"/>
      <name val="Pyidaungsu"/>
      <family val="2"/>
    </font>
    <font>
      <sz val="11"/>
      <color theme="0" tint="-4.9989318521683403E-2"/>
      <name val="Pyidaungsu"/>
      <family val="2"/>
    </font>
    <font>
      <b/>
      <sz val="14"/>
      <color theme="1"/>
      <name val="Pyidaungsu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BDE3FF"/>
        <bgColor indexed="64"/>
      </patternFill>
    </fill>
    <fill>
      <patternFill patternType="solid">
        <fgColor rgb="FFBFFDD4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/>
      <bottom style="double">
        <color theme="2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/>
      <top style="thin">
        <color theme="2" tint="-0.249977111117893"/>
      </top>
      <bottom/>
      <diagonal/>
    </border>
    <border>
      <left style="hair">
        <color theme="7" tint="0.39994506668294322"/>
      </left>
      <right style="hair">
        <color theme="7" tint="0.39994506668294322"/>
      </right>
      <top style="hair">
        <color theme="7" tint="0.39994506668294322"/>
      </top>
      <bottom style="hair">
        <color theme="7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9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 applyProtection="1">
      <alignment vertical="center"/>
    </xf>
    <xf numFmtId="40" fontId="2" fillId="0" borderId="0" xfId="0" applyNumberFormat="1" applyFont="1" applyAlignme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0" fontId="7" fillId="10" borderId="0" xfId="0" applyFont="1" applyFill="1" applyAlignment="1" applyProtection="1">
      <alignment horizontal="center" vertical="center"/>
    </xf>
    <xf numFmtId="43" fontId="12" fillId="10" borderId="0" xfId="1" applyFont="1" applyFill="1" applyAlignment="1" applyProtection="1">
      <alignment horizontal="center" vertical="center"/>
    </xf>
    <xf numFmtId="43" fontId="13" fillId="10" borderId="0" xfId="1" applyFont="1" applyFill="1" applyAlignment="1" applyProtection="1">
      <alignment horizontal="center" vertical="center"/>
    </xf>
    <xf numFmtId="43" fontId="7" fillId="10" borderId="0" xfId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40" fontId="4" fillId="0" borderId="0" xfId="0" applyNumberFormat="1" applyFont="1" applyAlignment="1" applyProtection="1">
      <alignment horizontal="right" vertical="center"/>
    </xf>
    <xf numFmtId="0" fontId="2" fillId="0" borderId="14" xfId="0" applyFont="1" applyBorder="1" applyAlignment="1" applyProtection="1">
      <alignment vertical="center"/>
    </xf>
    <xf numFmtId="43" fontId="2" fillId="0" borderId="14" xfId="1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left" vertical="center"/>
    </xf>
    <xf numFmtId="40" fontId="4" fillId="0" borderId="0" xfId="0" applyNumberFormat="1" applyFont="1" applyBorder="1" applyAlignment="1" applyProtection="1">
      <alignment horizontal="right" vertical="center"/>
    </xf>
    <xf numFmtId="0" fontId="4" fillId="0" borderId="15" xfId="0" applyFont="1" applyBorder="1" applyAlignment="1" applyProtection="1">
      <alignment vertical="center"/>
    </xf>
    <xf numFmtId="43" fontId="10" fillId="0" borderId="0" xfId="1" applyFont="1" applyAlignment="1" applyProtection="1">
      <alignment vertical="center"/>
    </xf>
    <xf numFmtId="43" fontId="11" fillId="0" borderId="0" xfId="1" applyFont="1" applyAlignment="1" applyProtection="1">
      <alignment vertical="center"/>
    </xf>
    <xf numFmtId="43" fontId="2" fillId="0" borderId="0" xfId="1" applyFont="1" applyAlignment="1" applyProtection="1">
      <alignment vertical="center"/>
    </xf>
    <xf numFmtId="43" fontId="10" fillId="2" borderId="14" xfId="1" applyFont="1" applyFill="1" applyBorder="1" applyAlignment="1" applyProtection="1">
      <alignment vertical="center"/>
      <protection locked="0"/>
    </xf>
    <xf numFmtId="43" fontId="11" fillId="2" borderId="14" xfId="1" applyFont="1" applyFill="1" applyBorder="1" applyAlignment="1" applyProtection="1">
      <alignment vertical="center"/>
      <protection locked="0"/>
    </xf>
    <xf numFmtId="40" fontId="4" fillId="2" borderId="15" xfId="0" applyNumberFormat="1" applyFont="1" applyFill="1" applyBorder="1" applyAlignment="1" applyProtection="1">
      <alignment vertical="center"/>
      <protection locked="0"/>
    </xf>
    <xf numFmtId="43" fontId="1" fillId="0" borderId="14" xfId="1" applyFont="1" applyBorder="1" applyAlignment="1" applyProtection="1">
      <alignment vertical="center"/>
      <protection locked="0"/>
    </xf>
    <xf numFmtId="43" fontId="2" fillId="2" borderId="0" xfId="1" applyFont="1" applyFill="1" applyAlignment="1" applyProtection="1">
      <alignment vertical="center"/>
      <protection locked="0"/>
    </xf>
    <xf numFmtId="0" fontId="4" fillId="10" borderId="0" xfId="0" applyFont="1" applyFill="1" applyAlignment="1" applyProtection="1">
      <alignment horizontal="center" vertical="center"/>
    </xf>
    <xf numFmtId="0" fontId="4" fillId="0" borderId="16" xfId="0" applyFont="1" applyBorder="1" applyAlignment="1" applyProtection="1">
      <alignment vertical="center"/>
    </xf>
    <xf numFmtId="40" fontId="4" fillId="0" borderId="16" xfId="0" applyNumberFormat="1" applyFont="1" applyBorder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43" fontId="9" fillId="0" borderId="0" xfId="1" applyFont="1" applyAlignment="1" applyProtection="1">
      <alignment horizontal="center" vertical="center"/>
    </xf>
    <xf numFmtId="0" fontId="14" fillId="0" borderId="0" xfId="0" applyFont="1"/>
    <xf numFmtId="4" fontId="15" fillId="0" borderId="0" xfId="0" applyNumberFormat="1" applyFont="1"/>
    <xf numFmtId="4" fontId="16" fillId="0" borderId="0" xfId="0" applyNumberFormat="1" applyFont="1"/>
    <xf numFmtId="4" fontId="14" fillId="0" borderId="0" xfId="0" applyNumberFormat="1" applyFont="1"/>
    <xf numFmtId="0" fontId="17" fillId="6" borderId="2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 vertical="center"/>
    </xf>
    <xf numFmtId="0" fontId="19" fillId="5" borderId="2" xfId="0" applyFont="1" applyFill="1" applyBorder="1" applyAlignment="1" applyProtection="1">
      <alignment horizontal="left" vertical="center"/>
      <protection locked="0"/>
    </xf>
    <xf numFmtId="0" fontId="19" fillId="5" borderId="3" xfId="0" applyFont="1" applyFill="1" applyBorder="1" applyAlignment="1" applyProtection="1">
      <alignment horizontal="left" vertical="center"/>
      <protection locked="0"/>
    </xf>
    <xf numFmtId="0" fontId="19" fillId="5" borderId="4" xfId="0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Border="1" applyAlignment="1" applyProtection="1">
      <alignment horizontal="left" vertical="center"/>
    </xf>
    <xf numFmtId="0" fontId="20" fillId="2" borderId="6" xfId="0" applyFont="1" applyFill="1" applyBorder="1" applyAlignment="1">
      <alignment horizontal="center" vertical="center"/>
    </xf>
    <xf numFmtId="4" fontId="21" fillId="7" borderId="0" xfId="0" applyNumberFormat="1" applyFont="1" applyFill="1" applyBorder="1" applyAlignment="1">
      <alignment horizontal="center" vertical="center"/>
    </xf>
    <xf numFmtId="4" fontId="21" fillId="8" borderId="0" xfId="0" applyNumberFormat="1" applyFont="1" applyFill="1" applyBorder="1" applyAlignment="1">
      <alignment horizontal="center" vertical="center"/>
    </xf>
    <xf numFmtId="4" fontId="16" fillId="0" borderId="0" xfId="0" applyNumberFormat="1" applyFont="1" applyAlignment="1">
      <alignment horizontal="center" vertical="center"/>
    </xf>
    <xf numFmtId="4" fontId="22" fillId="7" borderId="0" xfId="0" applyNumberFormat="1" applyFont="1" applyFill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14" fillId="0" borderId="0" xfId="0" applyFont="1" applyBorder="1"/>
    <xf numFmtId="3" fontId="23" fillId="0" borderId="8" xfId="0" applyNumberFormat="1" applyFont="1" applyBorder="1" applyAlignment="1">
      <alignment vertical="center"/>
    </xf>
    <xf numFmtId="0" fontId="14" fillId="0" borderId="8" xfId="0" applyFont="1" applyBorder="1" applyAlignment="1">
      <alignment horizontal="center" vertical="center"/>
    </xf>
    <xf numFmtId="167" fontId="14" fillId="5" borderId="8" xfId="0" applyNumberFormat="1" applyFont="1" applyFill="1" applyBorder="1" applyAlignment="1" applyProtection="1">
      <alignment vertical="center"/>
      <protection locked="0"/>
    </xf>
    <xf numFmtId="168" fontId="23" fillId="0" borderId="8" xfId="0" applyNumberFormat="1" applyFont="1" applyBorder="1" applyAlignment="1">
      <alignment vertical="center"/>
    </xf>
    <xf numFmtId="168" fontId="23" fillId="0" borderId="0" xfId="0" applyNumberFormat="1" applyFont="1" applyBorder="1" applyAlignment="1">
      <alignment vertical="center"/>
    </xf>
    <xf numFmtId="0" fontId="14" fillId="2" borderId="0" xfId="0" applyFont="1" applyFill="1"/>
    <xf numFmtId="40" fontId="15" fillId="0" borderId="9" xfId="0" applyNumberFormat="1" applyFont="1" applyFill="1" applyBorder="1" applyProtection="1">
      <protection locked="0"/>
    </xf>
    <xf numFmtId="40" fontId="16" fillId="0" borderId="9" xfId="0" applyNumberFormat="1" applyFont="1" applyFill="1" applyBorder="1" applyProtection="1">
      <protection locked="0"/>
    </xf>
    <xf numFmtId="4" fontId="24" fillId="0" borderId="0" xfId="0" applyNumberFormat="1" applyFont="1"/>
    <xf numFmtId="41" fontId="14" fillId="0" borderId="7" xfId="0" applyNumberFormat="1" applyFont="1" applyBorder="1"/>
    <xf numFmtId="0" fontId="14" fillId="5" borderId="7" xfId="0" applyFont="1" applyFill="1" applyBorder="1" applyProtection="1">
      <protection locked="0"/>
    </xf>
    <xf numFmtId="43" fontId="14" fillId="0" borderId="7" xfId="1" applyFont="1" applyBorder="1"/>
    <xf numFmtId="0" fontId="15" fillId="3" borderId="7" xfId="0" applyFont="1" applyFill="1" applyBorder="1" applyProtection="1">
      <protection locked="0"/>
    </xf>
    <xf numFmtId="40" fontId="15" fillId="0" borderId="0" xfId="0" applyNumberFormat="1" applyFont="1" applyFill="1" applyProtection="1">
      <protection locked="0"/>
    </xf>
    <xf numFmtId="40" fontId="16" fillId="0" borderId="0" xfId="0" applyNumberFormat="1" applyFont="1" applyFill="1" applyProtection="1">
      <protection locked="0"/>
    </xf>
    <xf numFmtId="4" fontId="22" fillId="8" borderId="0" xfId="0" applyNumberFormat="1" applyFont="1" applyFill="1" applyAlignment="1">
      <alignment horizontal="center" vertical="center"/>
    </xf>
    <xf numFmtId="4" fontId="25" fillId="0" borderId="0" xfId="0" applyNumberFormat="1" applyFont="1"/>
    <xf numFmtId="4" fontId="22" fillId="9" borderId="0" xfId="0" applyNumberFormat="1" applyFont="1" applyFill="1" applyAlignment="1">
      <alignment horizontal="center" vertical="center"/>
    </xf>
    <xf numFmtId="40" fontId="26" fillId="0" borderId="10" xfId="0" applyNumberFormat="1" applyFont="1" applyBorder="1"/>
    <xf numFmtId="0" fontId="23" fillId="0" borderId="8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41" fontId="20" fillId="0" borderId="11" xfId="0" applyNumberFormat="1" applyFont="1" applyBorder="1"/>
    <xf numFmtId="43" fontId="20" fillId="0" borderId="11" xfId="1" applyFont="1" applyBorder="1"/>
    <xf numFmtId="0" fontId="15" fillId="3" borderId="11" xfId="0" applyFont="1" applyFill="1" applyBorder="1" applyProtection="1">
      <protection locked="0"/>
    </xf>
    <xf numFmtId="0" fontId="14" fillId="0" borderId="8" xfId="0" applyFont="1" applyBorder="1" applyAlignment="1">
      <alignment horizontal="right" vertical="center" indent="1"/>
    </xf>
    <xf numFmtId="168" fontId="20" fillId="0" borderId="8" xfId="0" applyNumberFormat="1" applyFont="1" applyBorder="1" applyAlignment="1">
      <alignment vertical="center"/>
    </xf>
    <xf numFmtId="168" fontId="20" fillId="0" borderId="0" xfId="0" applyNumberFormat="1" applyFont="1" applyBorder="1" applyAlignment="1">
      <alignment vertical="center"/>
    </xf>
    <xf numFmtId="0" fontId="27" fillId="0" borderId="12" xfId="0" applyFont="1" applyBorder="1" applyAlignment="1"/>
    <xf numFmtId="168" fontId="14" fillId="5" borderId="8" xfId="0" applyNumberFormat="1" applyFont="1" applyFill="1" applyBorder="1" applyAlignment="1" applyProtection="1">
      <alignment vertical="center"/>
      <protection locked="0"/>
    </xf>
    <xf numFmtId="168" fontId="14" fillId="0" borderId="0" xfId="0" applyNumberFormat="1" applyFont="1" applyFill="1" applyBorder="1" applyAlignment="1" applyProtection="1">
      <alignment vertical="center"/>
      <protection locked="0"/>
    </xf>
    <xf numFmtId="0" fontId="20" fillId="0" borderId="8" xfId="0" applyFont="1" applyBorder="1" applyAlignment="1">
      <alignment horizontal="right" vertical="center" indent="1"/>
    </xf>
    <xf numFmtId="43" fontId="20" fillId="0" borderId="8" xfId="0" applyNumberFormat="1" applyFont="1" applyBorder="1" applyAlignment="1">
      <alignment vertical="center"/>
    </xf>
    <xf numFmtId="43" fontId="20" fillId="0" borderId="0" xfId="0" applyNumberFormat="1" applyFont="1" applyBorder="1" applyAlignment="1">
      <alignment vertical="center"/>
    </xf>
    <xf numFmtId="0" fontId="28" fillId="0" borderId="13" xfId="0" applyFont="1" applyBorder="1" applyAlignment="1"/>
    <xf numFmtId="0" fontId="29" fillId="0" borderId="13" xfId="0" applyFont="1" applyBorder="1" applyAlignment="1"/>
    <xf numFmtId="0" fontId="28" fillId="0" borderId="0" xfId="0" applyFont="1" applyAlignment="1"/>
    <xf numFmtId="0" fontId="29" fillId="0" borderId="0" xfId="0" applyFont="1" applyAlignment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43" fontId="30" fillId="0" borderId="1" xfId="1" applyFont="1" applyBorder="1" applyAlignment="1">
      <alignment horizontal="center" vertical="center"/>
    </xf>
    <xf numFmtId="43" fontId="30" fillId="0" borderId="0" xfId="1" applyFont="1" applyBorder="1" applyAlignment="1">
      <alignment horizontal="center" vertical="center"/>
    </xf>
    <xf numFmtId="0" fontId="30" fillId="0" borderId="1" xfId="0" applyFont="1" applyBorder="1" applyAlignment="1">
      <alignment horizontal="left" vertical="center"/>
    </xf>
    <xf numFmtId="0" fontId="30" fillId="4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7">
    <dxf>
      <font>
        <color rgb="FF00B0F0"/>
      </font>
      <fill>
        <patternFill patternType="none">
          <fgColor auto="1"/>
          <bgColor auto="1"/>
        </patternFill>
      </fill>
    </dxf>
    <dxf>
      <font>
        <color rgb="FFFF0000"/>
      </font>
      <fill>
        <patternFill patternType="none">
          <fgColor auto="1"/>
          <bgColor auto="1"/>
        </patternFill>
      </fill>
    </dxf>
    <dxf>
      <font>
        <color rgb="FF00B0F0"/>
      </font>
    </dxf>
    <dxf>
      <font>
        <strike val="0"/>
        <outline val="0"/>
        <shadow val="0"/>
        <u val="none"/>
        <vertAlign val="baseline"/>
        <name val="Pyidaungsu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Pyidaungsu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Pyidaungsu"/>
        <family val="2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Pyidaungsu"/>
        <family val="2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protection locked="0" hidden="0"/>
    </dxf>
  </dxfs>
  <tableStyles count="0" defaultTableStyle="TableStyleMedium9" defaultPivotStyle="PivotStyleLight16"/>
  <colors>
    <mruColors>
      <color rgb="FFFE6A6A"/>
      <color rgb="FFFF5B5B"/>
      <color rgb="FFFF8989"/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I3:J203" totalsRowShown="0" headerRowDxfId="4" dataDxfId="3">
  <autoFilter ref="I3:J203" xr:uid="{00000000-0009-0000-0100-000001000000}"/>
  <tableColumns count="2">
    <tableColumn id="1" xr3:uid="{00000000-0010-0000-0000-000001000000}" name="Debit" dataDxfId="6"/>
    <tableColumn id="2" xr3:uid="{00000000-0010-0000-0000-000002000000}" name="Credit" dataDxfId="5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B21"/>
  <sheetViews>
    <sheetView workbookViewId="0">
      <selection activeCell="G5" sqref="G5"/>
    </sheetView>
  </sheetViews>
  <sheetFormatPr defaultRowHeight="15"/>
  <cols>
    <col min="1" max="1" width="7.140625" style="89" bestFit="1" customWidth="1"/>
    <col min="2" max="2" width="7.28515625" style="1" bestFit="1" customWidth="1"/>
  </cols>
  <sheetData>
    <row r="1" spans="1:2" ht="25.5" customHeight="1">
      <c r="A1" s="89" t="s">
        <v>24</v>
      </c>
      <c r="B1" s="1" t="s">
        <v>61</v>
      </c>
    </row>
    <row r="2" spans="1:2" ht="25.5" customHeight="1">
      <c r="A2" s="89" t="s">
        <v>25</v>
      </c>
      <c r="B2" s="1" t="s">
        <v>62</v>
      </c>
    </row>
    <row r="3" spans="1:2" ht="25.5" customHeight="1">
      <c r="A3" s="89" t="s">
        <v>26</v>
      </c>
      <c r="B3" s="1" t="s">
        <v>63</v>
      </c>
    </row>
    <row r="4" spans="1:2" ht="25.5" customHeight="1">
      <c r="A4" s="89" t="s">
        <v>27</v>
      </c>
      <c r="B4" s="1" t="s">
        <v>64</v>
      </c>
    </row>
    <row r="5" spans="1:2" ht="25.5" customHeight="1">
      <c r="A5" s="89" t="s">
        <v>28</v>
      </c>
      <c r="B5" s="1" t="s">
        <v>33</v>
      </c>
    </row>
    <row r="6" spans="1:2" ht="25.5" customHeight="1">
      <c r="A6" s="89" t="s">
        <v>29</v>
      </c>
      <c r="B6" s="1" t="s">
        <v>65</v>
      </c>
    </row>
    <row r="7" spans="1:2" ht="25.5" customHeight="1">
      <c r="A7" s="89" t="s">
        <v>30</v>
      </c>
      <c r="B7" s="1" t="s">
        <v>66</v>
      </c>
    </row>
    <row r="8" spans="1:2" ht="25.5" customHeight="1">
      <c r="A8" s="89" t="s">
        <v>31</v>
      </c>
      <c r="B8" s="1" t="s">
        <v>67</v>
      </c>
    </row>
    <row r="9" spans="1:2" ht="25.5" customHeight="1">
      <c r="A9" s="89" t="s">
        <v>32</v>
      </c>
      <c r="B9" s="1" t="s">
        <v>34</v>
      </c>
    </row>
    <row r="10" spans="1:2" ht="25.5" customHeight="1"/>
    <row r="11" spans="1:2" ht="25.5" customHeight="1">
      <c r="A11" s="89" t="s">
        <v>37</v>
      </c>
    </row>
    <row r="12" spans="1:2" ht="25.5" customHeight="1">
      <c r="A12" s="89" t="s">
        <v>38</v>
      </c>
      <c r="B12" s="1" t="s">
        <v>68</v>
      </c>
    </row>
    <row r="13" spans="1:2" ht="25.5" customHeight="1">
      <c r="A13" s="89" t="s">
        <v>39</v>
      </c>
      <c r="B13" s="1" t="s">
        <v>36</v>
      </c>
    </row>
    <row r="14" spans="1:2" ht="25.5" customHeight="1">
      <c r="A14" s="89" t="s">
        <v>40</v>
      </c>
      <c r="B14" s="1" t="s">
        <v>69</v>
      </c>
    </row>
    <row r="15" spans="1:2" ht="25.5" customHeight="1">
      <c r="A15" s="89" t="s">
        <v>41</v>
      </c>
      <c r="B15" s="1" t="s">
        <v>70</v>
      </c>
    </row>
    <row r="16" spans="1:2" ht="25.5" customHeight="1">
      <c r="A16" s="89" t="s">
        <v>42</v>
      </c>
      <c r="B16" s="1" t="s">
        <v>71</v>
      </c>
    </row>
    <row r="17" spans="1:2" ht="19.5" customHeight="1"/>
    <row r="18" spans="1:2" ht="19.5" customHeight="1"/>
    <row r="19" spans="1:2" ht="19.5" customHeight="1">
      <c r="A19" s="89" t="s">
        <v>43</v>
      </c>
      <c r="B19" s="1" t="s">
        <v>72</v>
      </c>
    </row>
    <row r="20" spans="1:2" ht="19.5" customHeight="1">
      <c r="A20" s="89" t="s">
        <v>44</v>
      </c>
      <c r="B20" s="1" t="s">
        <v>73</v>
      </c>
    </row>
    <row r="21" spans="1:2" ht="19.5" customHeight="1">
      <c r="A21" s="89" t="s">
        <v>45</v>
      </c>
      <c r="B21" s="1" t="s">
        <v>35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4C2A5-542A-4299-B1C4-C7651F9EF3DD}">
  <sheetPr>
    <tabColor theme="4" tint="-0.249977111117893"/>
  </sheetPr>
  <dimension ref="A2:E2"/>
  <sheetViews>
    <sheetView showGridLines="0" tabSelected="1" workbookViewId="0">
      <selection activeCell="E6" sqref="E6"/>
    </sheetView>
  </sheetViews>
  <sheetFormatPr defaultRowHeight="21"/>
  <cols>
    <col min="1" max="1" width="10.140625" style="30" customWidth="1"/>
    <col min="2" max="2" width="25.42578125" style="30" customWidth="1"/>
    <col min="3" max="3" width="4.5703125" style="30" customWidth="1"/>
    <col min="4" max="4" width="14" style="30" customWidth="1"/>
    <col min="5" max="5" width="130.7109375" style="30" customWidth="1"/>
    <col min="6" max="16384" width="9.140625" style="30"/>
  </cols>
  <sheetData>
    <row r="2" spans="1:5" s="90" customFormat="1" ht="39.75" customHeight="1">
      <c r="A2" s="94" t="s">
        <v>74</v>
      </c>
      <c r="B2" s="91">
        <v>25.52</v>
      </c>
      <c r="C2" s="92"/>
      <c r="D2" s="94" t="s">
        <v>75</v>
      </c>
      <c r="E2" s="93" t="str">
        <f>ConvertFigureToWord(B2)</f>
        <v>ကျပ် နှစ်ဆယ်ငါး ပြား ငါးဆယ်နှစ် တိတိ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V272"/>
  <sheetViews>
    <sheetView showGridLines="0" workbookViewId="0">
      <selection activeCell="F8" sqref="F8"/>
    </sheetView>
  </sheetViews>
  <sheetFormatPr defaultRowHeight="21"/>
  <cols>
    <col min="1" max="1" width="2" style="30" customWidth="1"/>
    <col min="2" max="2" width="8.28515625" style="30" customWidth="1"/>
    <col min="3" max="3" width="2.140625" style="30" customWidth="1"/>
    <col min="4" max="4" width="11.28515625" style="30" customWidth="1"/>
    <col min="5" max="5" width="2.5703125" style="30" customWidth="1"/>
    <col min="6" max="6" width="27.85546875" style="30" customWidth="1"/>
    <col min="7" max="7" width="4.28515625" style="30" customWidth="1"/>
    <col min="8" max="8" width="4.42578125" style="30" bestFit="1" customWidth="1"/>
    <col min="9" max="9" width="21.42578125" style="31" customWidth="1"/>
    <col min="10" max="10" width="22.28515625" style="32" customWidth="1"/>
    <col min="11" max="11" width="1.42578125" style="33" customWidth="1"/>
    <col min="12" max="12" width="24.7109375" style="33" customWidth="1"/>
    <col min="13" max="13" width="6.140625" style="30" customWidth="1"/>
    <col min="14" max="14" width="3.5703125" style="30" bestFit="1" customWidth="1"/>
    <col min="15" max="15" width="11.28515625" style="30" bestFit="1" customWidth="1"/>
    <col min="16" max="16" width="8.140625" style="30" customWidth="1"/>
    <col min="17" max="18" width="9" style="30" bestFit="1" customWidth="1"/>
    <col min="19" max="19" width="8.5703125" style="30" customWidth="1"/>
    <col min="20" max="20" width="13.140625" style="30" bestFit="1" customWidth="1"/>
    <col min="21" max="21" width="19.85546875" style="30" customWidth="1"/>
    <col min="22" max="22" width="21.5703125" style="30" customWidth="1"/>
    <col min="23" max="16384" width="9.140625" style="30"/>
  </cols>
  <sheetData>
    <row r="1" spans="1:22" ht="9.75" customHeight="1"/>
    <row r="2" spans="1:22" ht="37.5" customHeight="1">
      <c r="B2" s="34" t="s">
        <v>5</v>
      </c>
      <c r="C2" s="35"/>
      <c r="D2" s="35"/>
      <c r="E2" s="35"/>
      <c r="F2" s="36"/>
      <c r="G2" s="37"/>
      <c r="H2" s="38" t="s">
        <v>6</v>
      </c>
      <c r="I2" s="38"/>
      <c r="J2" s="38"/>
      <c r="K2" s="38"/>
      <c r="L2" s="39"/>
      <c r="O2" s="40" t="s">
        <v>7</v>
      </c>
      <c r="P2" s="40"/>
      <c r="Q2" s="40"/>
      <c r="R2" s="40"/>
      <c r="S2" s="40"/>
      <c r="T2" s="40"/>
      <c r="U2" s="40"/>
      <c r="V2" s="40"/>
    </row>
    <row r="3" spans="1:22" ht="24">
      <c r="B3" s="41" t="s">
        <v>59</v>
      </c>
      <c r="C3" s="42"/>
      <c r="D3" s="42"/>
      <c r="E3" s="42"/>
      <c r="F3" s="43"/>
      <c r="G3" s="44"/>
      <c r="H3" s="45" t="s">
        <v>8</v>
      </c>
      <c r="I3" s="46" t="s">
        <v>9</v>
      </c>
      <c r="J3" s="47" t="s">
        <v>10</v>
      </c>
      <c r="K3" s="48"/>
      <c r="L3" s="49" t="s">
        <v>11</v>
      </c>
      <c r="O3" s="50" t="s">
        <v>12</v>
      </c>
      <c r="P3" s="50" t="s">
        <v>13</v>
      </c>
      <c r="Q3" s="50" t="s">
        <v>14</v>
      </c>
      <c r="R3" s="50" t="s">
        <v>15</v>
      </c>
      <c r="S3" s="50" t="s">
        <v>16</v>
      </c>
      <c r="T3" s="50" t="s">
        <v>17</v>
      </c>
      <c r="U3" s="50" t="s">
        <v>18</v>
      </c>
      <c r="V3" s="50" t="s">
        <v>3</v>
      </c>
    </row>
    <row r="4" spans="1:22" ht="20.25" customHeight="1">
      <c r="A4" s="51"/>
      <c r="B4" s="52">
        <v>10000</v>
      </c>
      <c r="C4" s="53" t="s">
        <v>0</v>
      </c>
      <c r="D4" s="54">
        <v>0</v>
      </c>
      <c r="E4" s="53" t="s">
        <v>1</v>
      </c>
      <c r="F4" s="55" t="str">
        <f t="shared" ref="F4:F13" si="0">IF((Notes="Looses (ရြက္ေရ)"),B4*D4,IF((Notes="Packets (အုပ္ေရ)"),B4*D4*100,IF((Notes="Bundles (အစီးေရ)"),B4*D4*1000,"")))</f>
        <v/>
      </c>
      <c r="G4" s="56"/>
      <c r="H4" s="57">
        <v>1</v>
      </c>
      <c r="I4" s="58"/>
      <c r="J4" s="59"/>
      <c r="L4" s="60">
        <f>SUM(I:I)</f>
        <v>0</v>
      </c>
      <c r="O4" s="61">
        <v>10000</v>
      </c>
      <c r="P4" s="62"/>
      <c r="Q4" s="62"/>
      <c r="R4" s="62"/>
      <c r="S4" s="62"/>
      <c r="T4" s="61">
        <f>(P4*50*1000)+(Q4*1000)+(R4*100)+S4</f>
        <v>0</v>
      </c>
      <c r="U4" s="63">
        <f t="shared" ref="U4:U14" si="1">T4*O4</f>
        <v>0</v>
      </c>
      <c r="V4" s="64"/>
    </row>
    <row r="5" spans="1:22" ht="20.25" customHeight="1">
      <c r="B5" s="52">
        <v>5000</v>
      </c>
      <c r="C5" s="53" t="s">
        <v>0</v>
      </c>
      <c r="D5" s="54">
        <v>1</v>
      </c>
      <c r="E5" s="53" t="s">
        <v>1</v>
      </c>
      <c r="F5" s="55" t="str">
        <f>IF((Notes="Looses (ရြက္ေရ)"),B5*D5,IF((Notes="Packets (အုပ္ေရ)"),B5*D5*100,IF((Notes="Bundles (အစီးေရ)"),B5*D5*1000,"")))</f>
        <v/>
      </c>
      <c r="G5" s="56"/>
      <c r="H5" s="57">
        <v>2</v>
      </c>
      <c r="I5" s="65"/>
      <c r="J5" s="66"/>
      <c r="L5" s="67" t="s">
        <v>19</v>
      </c>
      <c r="O5" s="61">
        <v>5000</v>
      </c>
      <c r="P5" s="62"/>
      <c r="Q5" s="62"/>
      <c r="R5" s="62"/>
      <c r="S5" s="62"/>
      <c r="T5" s="61">
        <f t="shared" ref="T5:T14" si="2">(P5*50*1000)+(Q5*1000)+(R5*100)+S5</f>
        <v>0</v>
      </c>
      <c r="U5" s="63">
        <f t="shared" si="1"/>
        <v>0</v>
      </c>
      <c r="V5" s="64"/>
    </row>
    <row r="6" spans="1:22" ht="20.25" customHeight="1">
      <c r="B6" s="52">
        <v>1000</v>
      </c>
      <c r="C6" s="53" t="s">
        <v>0</v>
      </c>
      <c r="D6" s="54">
        <v>0</v>
      </c>
      <c r="E6" s="53" t="s">
        <v>1</v>
      </c>
      <c r="F6" s="55" t="str">
        <f t="shared" si="0"/>
        <v/>
      </c>
      <c r="G6" s="56"/>
      <c r="H6" s="57">
        <v>3</v>
      </c>
      <c r="I6" s="65"/>
      <c r="J6" s="66"/>
      <c r="L6" s="68">
        <f>SUM(J:J)</f>
        <v>0</v>
      </c>
      <c r="O6" s="61">
        <v>1000</v>
      </c>
      <c r="P6" s="62"/>
      <c r="Q6" s="62"/>
      <c r="R6" s="62"/>
      <c r="S6" s="62"/>
      <c r="T6" s="61">
        <f t="shared" si="2"/>
        <v>0</v>
      </c>
      <c r="U6" s="63">
        <f t="shared" si="1"/>
        <v>0</v>
      </c>
      <c r="V6" s="64"/>
    </row>
    <row r="7" spans="1:22" ht="20.25" customHeight="1">
      <c r="B7" s="52">
        <v>500</v>
      </c>
      <c r="C7" s="53" t="s">
        <v>0</v>
      </c>
      <c r="D7" s="54">
        <v>0</v>
      </c>
      <c r="E7" s="53" t="s">
        <v>1</v>
      </c>
      <c r="F7" s="55" t="str">
        <f t="shared" si="0"/>
        <v/>
      </c>
      <c r="G7" s="56"/>
      <c r="H7" s="57">
        <v>4</v>
      </c>
      <c r="I7" s="65"/>
      <c r="J7" s="66"/>
      <c r="L7" s="69" t="s">
        <v>20</v>
      </c>
      <c r="O7" s="61">
        <v>500</v>
      </c>
      <c r="P7" s="62"/>
      <c r="Q7" s="62"/>
      <c r="R7" s="62"/>
      <c r="S7" s="62"/>
      <c r="T7" s="61">
        <f t="shared" si="2"/>
        <v>0</v>
      </c>
      <c r="U7" s="63">
        <f t="shared" si="1"/>
        <v>0</v>
      </c>
      <c r="V7" s="64"/>
    </row>
    <row r="8" spans="1:22" ht="20.25" customHeight="1" thickBot="1">
      <c r="B8" s="52">
        <v>200</v>
      </c>
      <c r="C8" s="53" t="s">
        <v>0</v>
      </c>
      <c r="D8" s="54">
        <v>0</v>
      </c>
      <c r="E8" s="53" t="s">
        <v>1</v>
      </c>
      <c r="F8" s="55" t="str">
        <f t="shared" si="0"/>
        <v/>
      </c>
      <c r="G8" s="56"/>
      <c r="H8" s="57">
        <v>5</v>
      </c>
      <c r="I8" s="65"/>
      <c r="J8" s="66"/>
      <c r="L8" s="70">
        <f>credit-debit</f>
        <v>0</v>
      </c>
      <c r="O8" s="61">
        <v>200</v>
      </c>
      <c r="P8" s="62"/>
      <c r="Q8" s="62"/>
      <c r="R8" s="62"/>
      <c r="S8" s="62"/>
      <c r="T8" s="61">
        <f t="shared" si="2"/>
        <v>0</v>
      </c>
      <c r="U8" s="63">
        <f t="shared" si="1"/>
        <v>0</v>
      </c>
      <c r="V8" s="64"/>
    </row>
    <row r="9" spans="1:22" ht="20.25" customHeight="1" thickTop="1">
      <c r="B9" s="52">
        <v>100</v>
      </c>
      <c r="C9" s="53" t="s">
        <v>0</v>
      </c>
      <c r="D9" s="54">
        <v>0</v>
      </c>
      <c r="E9" s="53" t="s">
        <v>1</v>
      </c>
      <c r="F9" s="55" t="str">
        <f t="shared" si="0"/>
        <v/>
      </c>
      <c r="G9" s="56"/>
      <c r="H9" s="57">
        <v>6</v>
      </c>
      <c r="I9" s="65"/>
      <c r="J9" s="66"/>
      <c r="O9" s="61">
        <v>100</v>
      </c>
      <c r="P9" s="62"/>
      <c r="Q9" s="62"/>
      <c r="R9" s="62"/>
      <c r="S9" s="62"/>
      <c r="T9" s="61">
        <f t="shared" si="2"/>
        <v>0</v>
      </c>
      <c r="U9" s="63">
        <f t="shared" si="1"/>
        <v>0</v>
      </c>
      <c r="V9" s="64"/>
    </row>
    <row r="10" spans="1:22" ht="20.25" customHeight="1">
      <c r="B10" s="52">
        <v>50</v>
      </c>
      <c r="C10" s="53" t="s">
        <v>0</v>
      </c>
      <c r="D10" s="54">
        <v>0</v>
      </c>
      <c r="E10" s="53" t="s">
        <v>1</v>
      </c>
      <c r="F10" s="55" t="str">
        <f t="shared" si="0"/>
        <v/>
      </c>
      <c r="G10" s="56"/>
      <c r="H10" s="57">
        <v>7</v>
      </c>
      <c r="I10" s="65"/>
      <c r="J10" s="66"/>
      <c r="O10" s="61">
        <v>50</v>
      </c>
      <c r="P10" s="62"/>
      <c r="Q10" s="62"/>
      <c r="R10" s="62"/>
      <c r="S10" s="62"/>
      <c r="T10" s="61">
        <f t="shared" si="2"/>
        <v>0</v>
      </c>
      <c r="U10" s="63">
        <f t="shared" si="1"/>
        <v>0</v>
      </c>
      <c r="V10" s="64"/>
    </row>
    <row r="11" spans="1:22" ht="20.25" customHeight="1">
      <c r="B11" s="52">
        <v>20</v>
      </c>
      <c r="C11" s="53" t="s">
        <v>0</v>
      </c>
      <c r="D11" s="54">
        <v>0</v>
      </c>
      <c r="E11" s="53" t="s">
        <v>1</v>
      </c>
      <c r="F11" s="55" t="str">
        <f t="shared" si="0"/>
        <v/>
      </c>
      <c r="G11" s="56"/>
      <c r="H11" s="57">
        <v>8</v>
      </c>
      <c r="I11" s="65"/>
      <c r="J11" s="66"/>
      <c r="O11" s="61">
        <v>20</v>
      </c>
      <c r="P11" s="62"/>
      <c r="Q11" s="62"/>
      <c r="R11" s="62"/>
      <c r="S11" s="62"/>
      <c r="T11" s="61">
        <f t="shared" si="2"/>
        <v>0</v>
      </c>
      <c r="U11" s="63">
        <f t="shared" si="1"/>
        <v>0</v>
      </c>
      <c r="V11" s="64"/>
    </row>
    <row r="12" spans="1:22" ht="20.25" customHeight="1">
      <c r="B12" s="52">
        <v>10</v>
      </c>
      <c r="C12" s="53" t="s">
        <v>0</v>
      </c>
      <c r="D12" s="54">
        <v>0</v>
      </c>
      <c r="E12" s="53" t="s">
        <v>1</v>
      </c>
      <c r="F12" s="55" t="str">
        <f t="shared" si="0"/>
        <v/>
      </c>
      <c r="G12" s="56"/>
      <c r="H12" s="57">
        <v>9</v>
      </c>
      <c r="I12" s="65"/>
      <c r="J12" s="66"/>
      <c r="O12" s="61">
        <v>10</v>
      </c>
      <c r="P12" s="62"/>
      <c r="Q12" s="62"/>
      <c r="R12" s="62"/>
      <c r="S12" s="62"/>
      <c r="T12" s="61">
        <f t="shared" si="2"/>
        <v>0</v>
      </c>
      <c r="U12" s="63">
        <f t="shared" si="1"/>
        <v>0</v>
      </c>
      <c r="V12" s="64"/>
    </row>
    <row r="13" spans="1:22" ht="20.25" customHeight="1">
      <c r="B13" s="52">
        <v>5</v>
      </c>
      <c r="C13" s="53" t="s">
        <v>0</v>
      </c>
      <c r="D13" s="54">
        <v>0</v>
      </c>
      <c r="E13" s="53" t="s">
        <v>1</v>
      </c>
      <c r="F13" s="55" t="str">
        <f t="shared" si="0"/>
        <v/>
      </c>
      <c r="G13" s="56"/>
      <c r="H13" s="57">
        <v>10</v>
      </c>
      <c r="I13" s="65"/>
      <c r="J13" s="66"/>
      <c r="O13" s="61">
        <v>5</v>
      </c>
      <c r="P13" s="62"/>
      <c r="Q13" s="62"/>
      <c r="R13" s="62"/>
      <c r="S13" s="62"/>
      <c r="T13" s="61">
        <f t="shared" si="2"/>
        <v>0</v>
      </c>
      <c r="U13" s="63">
        <f t="shared" si="1"/>
        <v>0</v>
      </c>
      <c r="V13" s="64"/>
    </row>
    <row r="14" spans="1:22" ht="20.25" customHeight="1">
      <c r="B14" s="52">
        <v>1</v>
      </c>
      <c r="C14" s="53" t="s">
        <v>0</v>
      </c>
      <c r="D14" s="54"/>
      <c r="E14" s="53" t="s">
        <v>1</v>
      </c>
      <c r="F14" s="55" t="str">
        <f>IF((Notes="Looses (ရြက္ေရ)"),B14*D14,IF((Notes="Packets (အုပ္ေရ)"),B14*D14*100,IF((Notes="Bundles (အစီးေရ)"),B14*D14*1000,"")))</f>
        <v/>
      </c>
      <c r="G14" s="56"/>
      <c r="H14" s="57">
        <v>11</v>
      </c>
      <c r="I14" s="65"/>
      <c r="J14" s="66"/>
      <c r="O14" s="61">
        <v>1</v>
      </c>
      <c r="P14" s="62"/>
      <c r="Q14" s="62"/>
      <c r="R14" s="62"/>
      <c r="S14" s="62"/>
      <c r="T14" s="61">
        <f t="shared" si="2"/>
        <v>0</v>
      </c>
      <c r="U14" s="63">
        <f t="shared" si="1"/>
        <v>0</v>
      </c>
      <c r="V14" s="64"/>
    </row>
    <row r="15" spans="1:22" ht="20.25" customHeight="1">
      <c r="B15" s="71" t="s">
        <v>21</v>
      </c>
      <c r="C15" s="53"/>
      <c r="D15" s="54">
        <v>0</v>
      </c>
      <c r="E15" s="53" t="s">
        <v>1</v>
      </c>
      <c r="F15" s="55">
        <f>D15</f>
        <v>0</v>
      </c>
      <c r="G15" s="56"/>
      <c r="H15" s="57">
        <v>12</v>
      </c>
      <c r="I15" s="65"/>
      <c r="J15" s="66"/>
      <c r="O15" s="72" t="s">
        <v>4</v>
      </c>
      <c r="P15" s="73">
        <f t="shared" ref="P15:S15" si="3">SUM(P4:P14)</f>
        <v>0</v>
      </c>
      <c r="Q15" s="73">
        <f t="shared" si="3"/>
        <v>0</v>
      </c>
      <c r="R15" s="73">
        <f t="shared" si="3"/>
        <v>0</v>
      </c>
      <c r="S15" s="73">
        <f t="shared" si="3"/>
        <v>0</v>
      </c>
      <c r="T15" s="73">
        <f>SUM(T4:T14)</f>
        <v>0</v>
      </c>
      <c r="U15" s="74">
        <f>SUM(U4:U14)</f>
        <v>0</v>
      </c>
      <c r="V15" s="75"/>
    </row>
    <row r="16" spans="1:22" ht="21.75" customHeight="1">
      <c r="B16" s="76" t="s">
        <v>18</v>
      </c>
      <c r="C16" s="76"/>
      <c r="D16" s="76"/>
      <c r="E16" s="53" t="s">
        <v>1</v>
      </c>
      <c r="F16" s="77">
        <f>SUM(F4:F15)</f>
        <v>0</v>
      </c>
      <c r="G16" s="78"/>
      <c r="H16" s="57">
        <v>13</v>
      </c>
      <c r="I16" s="65"/>
      <c r="J16" s="66"/>
      <c r="O16" s="79"/>
      <c r="P16" s="79"/>
      <c r="Q16" s="79"/>
      <c r="R16" s="79"/>
      <c r="S16" s="79"/>
      <c r="T16" s="79"/>
      <c r="U16" s="79"/>
      <c r="V16" s="79"/>
    </row>
    <row r="17" spans="2:22" ht="21.75" customHeight="1">
      <c r="B17" s="76" t="s">
        <v>22</v>
      </c>
      <c r="C17" s="76"/>
      <c r="D17" s="76"/>
      <c r="E17" s="53" t="s">
        <v>1</v>
      </c>
      <c r="F17" s="80">
        <f>L8</f>
        <v>0</v>
      </c>
      <c r="G17" s="81"/>
      <c r="H17" s="57">
        <v>14</v>
      </c>
      <c r="I17" s="65"/>
      <c r="J17" s="66"/>
      <c r="O17" s="51"/>
      <c r="P17" s="51"/>
      <c r="Q17" s="51"/>
      <c r="R17" s="51"/>
      <c r="S17" s="51"/>
      <c r="T17" s="51"/>
      <c r="U17" s="51"/>
      <c r="V17" s="51"/>
    </row>
    <row r="18" spans="2:22" ht="21.75" customHeight="1">
      <c r="B18" s="82" t="s">
        <v>23</v>
      </c>
      <c r="C18" s="82"/>
      <c r="D18" s="82"/>
      <c r="E18" s="53" t="s">
        <v>1</v>
      </c>
      <c r="F18" s="83">
        <f>F16-F17</f>
        <v>0</v>
      </c>
      <c r="G18" s="84"/>
      <c r="H18" s="57">
        <v>15</v>
      </c>
      <c r="I18" s="65"/>
      <c r="J18" s="66"/>
    </row>
    <row r="19" spans="2:22" ht="20.25" customHeight="1">
      <c r="B19" s="85" t="s">
        <v>58</v>
      </c>
      <c r="C19" s="86"/>
      <c r="D19" s="86"/>
      <c r="H19" s="57">
        <v>16</v>
      </c>
      <c r="I19" s="65"/>
      <c r="J19" s="66"/>
    </row>
    <row r="20" spans="2:22" ht="20.25" customHeight="1">
      <c r="B20" s="87" t="s">
        <v>59</v>
      </c>
      <c r="C20" s="88"/>
      <c r="D20" s="88"/>
      <c r="H20" s="57">
        <v>17</v>
      </c>
      <c r="I20" s="65"/>
      <c r="J20" s="66"/>
    </row>
    <row r="21" spans="2:22" ht="20.25" customHeight="1">
      <c r="B21" s="87" t="s">
        <v>60</v>
      </c>
      <c r="C21" s="88"/>
      <c r="D21" s="88"/>
      <c r="H21" s="57">
        <v>18</v>
      </c>
      <c r="I21" s="65"/>
      <c r="J21" s="66"/>
    </row>
    <row r="22" spans="2:22" ht="20.25" customHeight="1">
      <c r="H22" s="57">
        <v>19</v>
      </c>
      <c r="I22" s="65"/>
      <c r="J22" s="66"/>
    </row>
    <row r="23" spans="2:22" ht="20.25" customHeight="1">
      <c r="H23" s="57">
        <v>20</v>
      </c>
      <c r="I23" s="65"/>
      <c r="J23" s="66"/>
    </row>
    <row r="24" spans="2:22" ht="20.25" customHeight="1">
      <c r="H24" s="57">
        <v>21</v>
      </c>
      <c r="I24" s="65"/>
      <c r="J24" s="66"/>
    </row>
    <row r="25" spans="2:22" ht="20.25" customHeight="1">
      <c r="H25" s="57">
        <v>22</v>
      </c>
      <c r="I25" s="65"/>
      <c r="J25" s="66"/>
    </row>
    <row r="26" spans="2:22" ht="20.25" customHeight="1">
      <c r="H26" s="57">
        <v>23</v>
      </c>
      <c r="I26" s="65"/>
      <c r="J26" s="66"/>
    </row>
    <row r="27" spans="2:22" ht="20.25" customHeight="1">
      <c r="H27" s="57">
        <v>24</v>
      </c>
      <c r="I27" s="65"/>
      <c r="J27" s="66"/>
    </row>
    <row r="28" spans="2:22" ht="20.25" customHeight="1">
      <c r="H28" s="57">
        <v>25</v>
      </c>
      <c r="I28" s="65"/>
      <c r="J28" s="66"/>
    </row>
    <row r="29" spans="2:22" ht="20.25" customHeight="1">
      <c r="H29" s="57">
        <v>26</v>
      </c>
      <c r="I29" s="65"/>
      <c r="J29" s="66"/>
    </row>
    <row r="30" spans="2:22" ht="20.25" customHeight="1">
      <c r="H30" s="57">
        <v>27</v>
      </c>
      <c r="I30" s="65"/>
      <c r="J30" s="66"/>
    </row>
    <row r="31" spans="2:22" ht="20.25" customHeight="1">
      <c r="H31" s="57">
        <v>28</v>
      </c>
      <c r="I31" s="65"/>
      <c r="J31" s="66"/>
    </row>
    <row r="32" spans="2:22" ht="20.25" customHeight="1">
      <c r="H32" s="57">
        <v>29</v>
      </c>
      <c r="I32" s="65"/>
      <c r="J32" s="66"/>
    </row>
    <row r="33" spans="8:10" ht="20.25" customHeight="1">
      <c r="H33" s="57">
        <v>30</v>
      </c>
      <c r="I33" s="65"/>
      <c r="J33" s="66"/>
    </row>
    <row r="34" spans="8:10" ht="20.25" customHeight="1">
      <c r="H34" s="57">
        <v>31</v>
      </c>
      <c r="I34" s="65"/>
      <c r="J34" s="66"/>
    </row>
    <row r="35" spans="8:10" ht="20.25" customHeight="1">
      <c r="H35" s="57">
        <v>32</v>
      </c>
      <c r="I35" s="65"/>
      <c r="J35" s="66"/>
    </row>
    <row r="36" spans="8:10" ht="20.25" customHeight="1">
      <c r="H36" s="57">
        <v>33</v>
      </c>
      <c r="I36" s="65"/>
      <c r="J36" s="66"/>
    </row>
    <row r="37" spans="8:10" ht="20.25" customHeight="1">
      <c r="H37" s="57">
        <v>34</v>
      </c>
      <c r="I37" s="65"/>
      <c r="J37" s="66"/>
    </row>
    <row r="38" spans="8:10" ht="20.25" customHeight="1">
      <c r="H38" s="57">
        <v>35</v>
      </c>
      <c r="I38" s="65"/>
      <c r="J38" s="66"/>
    </row>
    <row r="39" spans="8:10" ht="20.25" customHeight="1">
      <c r="H39" s="57">
        <v>36</v>
      </c>
      <c r="I39" s="65"/>
      <c r="J39" s="66"/>
    </row>
    <row r="40" spans="8:10" ht="20.25" customHeight="1">
      <c r="H40" s="57">
        <v>37</v>
      </c>
      <c r="I40" s="65"/>
      <c r="J40" s="66"/>
    </row>
    <row r="41" spans="8:10" ht="20.25" customHeight="1">
      <c r="H41" s="57">
        <v>38</v>
      </c>
      <c r="I41" s="65"/>
      <c r="J41" s="66"/>
    </row>
    <row r="42" spans="8:10" ht="20.25" customHeight="1">
      <c r="H42" s="57">
        <v>39</v>
      </c>
      <c r="I42" s="65"/>
      <c r="J42" s="66"/>
    </row>
    <row r="43" spans="8:10" ht="20.25" customHeight="1">
      <c r="H43" s="57">
        <v>40</v>
      </c>
      <c r="I43" s="65"/>
      <c r="J43" s="66"/>
    </row>
    <row r="44" spans="8:10" ht="20.25" customHeight="1">
      <c r="H44" s="57">
        <v>41</v>
      </c>
      <c r="I44" s="65"/>
      <c r="J44" s="66"/>
    </row>
    <row r="45" spans="8:10" ht="20.25" customHeight="1">
      <c r="H45" s="57">
        <v>42</v>
      </c>
      <c r="I45" s="65"/>
      <c r="J45" s="66"/>
    </row>
    <row r="46" spans="8:10" ht="20.25" customHeight="1">
      <c r="H46" s="57">
        <v>43</v>
      </c>
      <c r="I46" s="65"/>
      <c r="J46" s="66"/>
    </row>
    <row r="47" spans="8:10" ht="20.25" customHeight="1">
      <c r="H47" s="57">
        <v>44</v>
      </c>
      <c r="I47" s="65"/>
      <c r="J47" s="66"/>
    </row>
    <row r="48" spans="8:10" ht="20.25" customHeight="1">
      <c r="H48" s="57">
        <v>45</v>
      </c>
      <c r="I48" s="65"/>
      <c r="J48" s="66"/>
    </row>
    <row r="49" spans="8:10" ht="20.25" customHeight="1">
      <c r="H49" s="57">
        <v>46</v>
      </c>
      <c r="I49" s="65"/>
      <c r="J49" s="66"/>
    </row>
    <row r="50" spans="8:10" ht="20.25" customHeight="1">
      <c r="H50" s="57">
        <v>47</v>
      </c>
      <c r="I50" s="65"/>
      <c r="J50" s="66"/>
    </row>
    <row r="51" spans="8:10" ht="20.25" customHeight="1">
      <c r="H51" s="57">
        <v>48</v>
      </c>
      <c r="I51" s="65"/>
      <c r="J51" s="66"/>
    </row>
    <row r="52" spans="8:10" ht="20.25" customHeight="1">
      <c r="H52" s="57">
        <v>49</v>
      </c>
      <c r="I52" s="65"/>
      <c r="J52" s="66"/>
    </row>
    <row r="53" spans="8:10" ht="20.25" customHeight="1">
      <c r="H53" s="57">
        <v>50</v>
      </c>
      <c r="I53" s="65"/>
      <c r="J53" s="66"/>
    </row>
    <row r="54" spans="8:10" ht="20.25" customHeight="1">
      <c r="H54" s="57">
        <v>51</v>
      </c>
      <c r="I54" s="65"/>
      <c r="J54" s="66"/>
    </row>
    <row r="55" spans="8:10" ht="20.25" customHeight="1">
      <c r="H55" s="57">
        <v>52</v>
      </c>
      <c r="I55" s="65"/>
      <c r="J55" s="66"/>
    </row>
    <row r="56" spans="8:10" ht="20.25" customHeight="1">
      <c r="H56" s="57">
        <v>53</v>
      </c>
      <c r="I56" s="65"/>
      <c r="J56" s="66"/>
    </row>
    <row r="57" spans="8:10" ht="20.25" customHeight="1">
      <c r="H57" s="57">
        <v>54</v>
      </c>
      <c r="I57" s="65"/>
      <c r="J57" s="66"/>
    </row>
    <row r="58" spans="8:10" ht="20.25" customHeight="1">
      <c r="H58" s="57">
        <v>55</v>
      </c>
      <c r="I58" s="65"/>
      <c r="J58" s="66"/>
    </row>
    <row r="59" spans="8:10" ht="20.25" customHeight="1">
      <c r="H59" s="57">
        <v>56</v>
      </c>
      <c r="I59" s="65"/>
      <c r="J59" s="66"/>
    </row>
    <row r="60" spans="8:10" ht="20.25" customHeight="1">
      <c r="H60" s="57">
        <v>57</v>
      </c>
      <c r="I60" s="65"/>
      <c r="J60" s="66"/>
    </row>
    <row r="61" spans="8:10" ht="20.25" customHeight="1">
      <c r="H61" s="57">
        <v>58</v>
      </c>
      <c r="I61" s="65"/>
      <c r="J61" s="66"/>
    </row>
    <row r="62" spans="8:10" ht="20.25" customHeight="1">
      <c r="H62" s="57">
        <v>59</v>
      </c>
      <c r="I62" s="65"/>
      <c r="J62" s="66"/>
    </row>
    <row r="63" spans="8:10" ht="20.25" customHeight="1">
      <c r="H63" s="57">
        <v>60</v>
      </c>
      <c r="I63" s="65"/>
      <c r="J63" s="66"/>
    </row>
    <row r="64" spans="8:10" ht="20.25" customHeight="1">
      <c r="H64" s="57">
        <v>61</v>
      </c>
      <c r="I64" s="65"/>
      <c r="J64" s="66"/>
    </row>
    <row r="65" spans="8:10" ht="20.25" customHeight="1">
      <c r="H65" s="57">
        <v>62</v>
      </c>
      <c r="I65" s="65"/>
      <c r="J65" s="66"/>
    </row>
    <row r="66" spans="8:10" ht="20.25" customHeight="1">
      <c r="H66" s="57">
        <v>63</v>
      </c>
      <c r="I66" s="65"/>
      <c r="J66" s="66"/>
    </row>
    <row r="67" spans="8:10" ht="20.25" customHeight="1">
      <c r="H67" s="57">
        <v>64</v>
      </c>
      <c r="I67" s="65"/>
      <c r="J67" s="66"/>
    </row>
    <row r="68" spans="8:10" ht="20.25" customHeight="1">
      <c r="H68" s="57">
        <v>65</v>
      </c>
      <c r="I68" s="65"/>
      <c r="J68" s="66"/>
    </row>
    <row r="69" spans="8:10" ht="20.25" customHeight="1">
      <c r="H69" s="57">
        <v>66</v>
      </c>
      <c r="I69" s="65"/>
      <c r="J69" s="66"/>
    </row>
    <row r="70" spans="8:10" ht="20.25" customHeight="1">
      <c r="H70" s="57">
        <v>67</v>
      </c>
      <c r="I70" s="65"/>
      <c r="J70" s="66"/>
    </row>
    <row r="71" spans="8:10" ht="20.25" customHeight="1">
      <c r="H71" s="57">
        <v>68</v>
      </c>
      <c r="I71" s="65"/>
      <c r="J71" s="66"/>
    </row>
    <row r="72" spans="8:10" ht="20.25" customHeight="1">
      <c r="H72" s="57">
        <v>69</v>
      </c>
      <c r="I72" s="65"/>
      <c r="J72" s="66"/>
    </row>
    <row r="73" spans="8:10" ht="20.25" customHeight="1">
      <c r="H73" s="57">
        <v>70</v>
      </c>
      <c r="I73" s="65"/>
      <c r="J73" s="66"/>
    </row>
    <row r="74" spans="8:10" ht="20.25" customHeight="1">
      <c r="H74" s="57">
        <v>71</v>
      </c>
      <c r="I74" s="65"/>
      <c r="J74" s="66"/>
    </row>
    <row r="75" spans="8:10" ht="20.25" customHeight="1">
      <c r="H75" s="57">
        <v>72</v>
      </c>
      <c r="I75" s="65"/>
      <c r="J75" s="66"/>
    </row>
    <row r="76" spans="8:10" ht="20.25" customHeight="1">
      <c r="H76" s="57">
        <v>73</v>
      </c>
      <c r="I76" s="65"/>
      <c r="J76" s="66"/>
    </row>
    <row r="77" spans="8:10" ht="20.25" customHeight="1">
      <c r="H77" s="57">
        <v>74</v>
      </c>
      <c r="I77" s="65"/>
      <c r="J77" s="66"/>
    </row>
    <row r="78" spans="8:10" ht="20.25" customHeight="1">
      <c r="H78" s="57">
        <v>75</v>
      </c>
      <c r="I78" s="65"/>
      <c r="J78" s="66"/>
    </row>
    <row r="79" spans="8:10" ht="20.25" customHeight="1">
      <c r="H79" s="57">
        <v>76</v>
      </c>
      <c r="I79" s="65"/>
      <c r="J79" s="66"/>
    </row>
    <row r="80" spans="8:10" ht="20.25" customHeight="1">
      <c r="H80" s="57">
        <v>77</v>
      </c>
      <c r="I80" s="65"/>
      <c r="J80" s="66"/>
    </row>
    <row r="81" spans="8:10" ht="20.25" customHeight="1">
      <c r="H81" s="57">
        <v>78</v>
      </c>
      <c r="I81" s="65"/>
      <c r="J81" s="66"/>
    </row>
    <row r="82" spans="8:10" ht="20.25" customHeight="1">
      <c r="H82" s="57">
        <v>79</v>
      </c>
      <c r="I82" s="65"/>
      <c r="J82" s="66"/>
    </row>
    <row r="83" spans="8:10" ht="20.25" customHeight="1">
      <c r="H83" s="57">
        <v>80</v>
      </c>
      <c r="I83" s="65"/>
      <c r="J83" s="66"/>
    </row>
    <row r="84" spans="8:10" ht="20.25" customHeight="1">
      <c r="H84" s="57">
        <v>81</v>
      </c>
      <c r="I84" s="65"/>
      <c r="J84" s="66"/>
    </row>
    <row r="85" spans="8:10" ht="20.25" customHeight="1">
      <c r="H85" s="57">
        <v>82</v>
      </c>
      <c r="I85" s="65"/>
      <c r="J85" s="66"/>
    </row>
    <row r="86" spans="8:10" ht="20.25" customHeight="1">
      <c r="H86" s="57">
        <v>83</v>
      </c>
      <c r="I86" s="65"/>
      <c r="J86" s="66"/>
    </row>
    <row r="87" spans="8:10" ht="20.25" customHeight="1">
      <c r="H87" s="57">
        <v>84</v>
      </c>
      <c r="I87" s="65"/>
      <c r="J87" s="66"/>
    </row>
    <row r="88" spans="8:10" ht="20.25" customHeight="1">
      <c r="H88" s="57">
        <v>85</v>
      </c>
      <c r="I88" s="65"/>
      <c r="J88" s="66"/>
    </row>
    <row r="89" spans="8:10" ht="20.25" customHeight="1">
      <c r="H89" s="57">
        <v>86</v>
      </c>
      <c r="I89" s="65"/>
      <c r="J89" s="66"/>
    </row>
    <row r="90" spans="8:10" ht="20.25" customHeight="1">
      <c r="H90" s="57">
        <v>87</v>
      </c>
      <c r="I90" s="65"/>
      <c r="J90" s="66"/>
    </row>
    <row r="91" spans="8:10" ht="20.25" customHeight="1">
      <c r="H91" s="57">
        <v>88</v>
      </c>
      <c r="I91" s="65"/>
      <c r="J91" s="66"/>
    </row>
    <row r="92" spans="8:10" ht="20.25" customHeight="1">
      <c r="H92" s="57">
        <v>89</v>
      </c>
      <c r="I92" s="65"/>
      <c r="J92" s="66"/>
    </row>
    <row r="93" spans="8:10" ht="20.25" customHeight="1">
      <c r="H93" s="57">
        <v>90</v>
      </c>
      <c r="I93" s="65"/>
      <c r="J93" s="66"/>
    </row>
    <row r="94" spans="8:10" ht="20.25" customHeight="1">
      <c r="H94" s="57">
        <v>91</v>
      </c>
      <c r="I94" s="65"/>
      <c r="J94" s="66"/>
    </row>
    <row r="95" spans="8:10" ht="20.25" customHeight="1">
      <c r="H95" s="57">
        <v>92</v>
      </c>
      <c r="I95" s="65"/>
      <c r="J95" s="66"/>
    </row>
    <row r="96" spans="8:10" ht="20.25" customHeight="1">
      <c r="H96" s="57">
        <v>93</v>
      </c>
      <c r="I96" s="65"/>
      <c r="J96" s="66"/>
    </row>
    <row r="97" spans="8:10" ht="20.25" customHeight="1">
      <c r="H97" s="57">
        <v>94</v>
      </c>
      <c r="I97" s="65"/>
      <c r="J97" s="66"/>
    </row>
    <row r="98" spans="8:10" ht="20.25" customHeight="1">
      <c r="H98" s="57">
        <v>95</v>
      </c>
      <c r="I98" s="65"/>
      <c r="J98" s="66"/>
    </row>
    <row r="99" spans="8:10" ht="20.25" customHeight="1">
      <c r="H99" s="57">
        <v>96</v>
      </c>
      <c r="I99" s="65"/>
      <c r="J99" s="66"/>
    </row>
    <row r="100" spans="8:10" ht="20.25" customHeight="1">
      <c r="H100" s="57">
        <v>97</v>
      </c>
      <c r="I100" s="65"/>
      <c r="J100" s="66"/>
    </row>
    <row r="101" spans="8:10" ht="20.25" customHeight="1">
      <c r="H101" s="57">
        <v>98</v>
      </c>
      <c r="I101" s="65"/>
      <c r="J101" s="66"/>
    </row>
    <row r="102" spans="8:10" ht="20.25" customHeight="1">
      <c r="H102" s="57">
        <v>99</v>
      </c>
      <c r="I102" s="65"/>
      <c r="J102" s="66"/>
    </row>
    <row r="103" spans="8:10" ht="20.25" customHeight="1">
      <c r="H103" s="57">
        <v>100</v>
      </c>
      <c r="I103" s="65"/>
      <c r="J103" s="66"/>
    </row>
    <row r="104" spans="8:10" ht="20.25" customHeight="1">
      <c r="H104" s="57">
        <v>101</v>
      </c>
      <c r="I104" s="65"/>
      <c r="J104" s="66"/>
    </row>
    <row r="105" spans="8:10" ht="20.25" customHeight="1">
      <c r="H105" s="57">
        <v>102</v>
      </c>
      <c r="I105" s="65"/>
      <c r="J105" s="66"/>
    </row>
    <row r="106" spans="8:10" ht="20.25" customHeight="1">
      <c r="H106" s="57">
        <v>103</v>
      </c>
      <c r="I106" s="65"/>
      <c r="J106" s="66"/>
    </row>
    <row r="107" spans="8:10" ht="20.25" customHeight="1">
      <c r="H107" s="57">
        <v>104</v>
      </c>
      <c r="I107" s="65"/>
      <c r="J107" s="66"/>
    </row>
    <row r="108" spans="8:10" ht="20.25" customHeight="1">
      <c r="H108" s="57">
        <v>105</v>
      </c>
      <c r="I108" s="65"/>
      <c r="J108" s="66"/>
    </row>
    <row r="109" spans="8:10" ht="20.25" customHeight="1">
      <c r="H109" s="57">
        <v>106</v>
      </c>
      <c r="I109" s="65"/>
      <c r="J109" s="66"/>
    </row>
    <row r="110" spans="8:10" ht="20.25" customHeight="1">
      <c r="H110" s="57">
        <v>107</v>
      </c>
      <c r="I110" s="65"/>
      <c r="J110" s="66"/>
    </row>
    <row r="111" spans="8:10" ht="20.25" customHeight="1">
      <c r="H111" s="57">
        <v>108</v>
      </c>
      <c r="I111" s="65"/>
      <c r="J111" s="66"/>
    </row>
    <row r="112" spans="8:10" ht="20.25" customHeight="1">
      <c r="H112" s="57">
        <v>109</v>
      </c>
      <c r="I112" s="65"/>
      <c r="J112" s="66"/>
    </row>
    <row r="113" spans="8:10" ht="20.25" customHeight="1">
      <c r="H113" s="57">
        <v>110</v>
      </c>
      <c r="I113" s="65"/>
      <c r="J113" s="66"/>
    </row>
    <row r="114" spans="8:10" ht="20.25" customHeight="1">
      <c r="H114" s="57">
        <v>111</v>
      </c>
      <c r="I114" s="65"/>
      <c r="J114" s="66"/>
    </row>
    <row r="115" spans="8:10" ht="20.25" customHeight="1">
      <c r="H115" s="57">
        <v>112</v>
      </c>
      <c r="I115" s="65"/>
      <c r="J115" s="66"/>
    </row>
    <row r="116" spans="8:10" ht="20.25" customHeight="1">
      <c r="H116" s="57">
        <v>113</v>
      </c>
      <c r="I116" s="65"/>
      <c r="J116" s="66"/>
    </row>
    <row r="117" spans="8:10" ht="20.25" customHeight="1">
      <c r="H117" s="57">
        <v>114</v>
      </c>
      <c r="I117" s="65"/>
      <c r="J117" s="66"/>
    </row>
    <row r="118" spans="8:10" ht="20.25" customHeight="1">
      <c r="H118" s="57">
        <v>115</v>
      </c>
      <c r="I118" s="65"/>
      <c r="J118" s="66"/>
    </row>
    <row r="119" spans="8:10" ht="20.25" customHeight="1">
      <c r="H119" s="57">
        <v>116</v>
      </c>
      <c r="I119" s="65"/>
      <c r="J119" s="66"/>
    </row>
    <row r="120" spans="8:10" ht="20.25" customHeight="1">
      <c r="H120" s="57">
        <v>117</v>
      </c>
      <c r="I120" s="65"/>
      <c r="J120" s="66"/>
    </row>
    <row r="121" spans="8:10" ht="20.25" customHeight="1">
      <c r="H121" s="57">
        <v>118</v>
      </c>
      <c r="I121" s="65"/>
      <c r="J121" s="66"/>
    </row>
    <row r="122" spans="8:10" ht="20.25" customHeight="1">
      <c r="H122" s="57">
        <v>119</v>
      </c>
      <c r="I122" s="65"/>
      <c r="J122" s="66"/>
    </row>
    <row r="123" spans="8:10" ht="20.25" customHeight="1">
      <c r="H123" s="57">
        <v>120</v>
      </c>
      <c r="I123" s="65"/>
      <c r="J123" s="66"/>
    </row>
    <row r="124" spans="8:10" ht="20.25" customHeight="1">
      <c r="H124" s="57">
        <v>121</v>
      </c>
      <c r="I124" s="65"/>
      <c r="J124" s="66"/>
    </row>
    <row r="125" spans="8:10" ht="20.25" customHeight="1">
      <c r="H125" s="57">
        <v>122</v>
      </c>
      <c r="I125" s="65"/>
      <c r="J125" s="66"/>
    </row>
    <row r="126" spans="8:10" ht="20.25" customHeight="1">
      <c r="H126" s="57">
        <v>123</v>
      </c>
      <c r="I126" s="65"/>
      <c r="J126" s="66"/>
    </row>
    <row r="127" spans="8:10" ht="20.25" customHeight="1">
      <c r="H127" s="57">
        <v>124</v>
      </c>
      <c r="I127" s="65"/>
      <c r="J127" s="66"/>
    </row>
    <row r="128" spans="8:10" ht="20.25" customHeight="1">
      <c r="H128" s="57">
        <v>125</v>
      </c>
      <c r="I128" s="65"/>
      <c r="J128" s="66"/>
    </row>
    <row r="129" spans="8:10" ht="20.25" customHeight="1">
      <c r="H129" s="57">
        <v>126</v>
      </c>
      <c r="I129" s="65"/>
      <c r="J129" s="66"/>
    </row>
    <row r="130" spans="8:10" ht="20.25" customHeight="1">
      <c r="H130" s="57">
        <v>127</v>
      </c>
      <c r="I130" s="65"/>
      <c r="J130" s="66"/>
    </row>
    <row r="131" spans="8:10" ht="20.25" customHeight="1">
      <c r="H131" s="57">
        <v>128</v>
      </c>
      <c r="I131" s="65"/>
      <c r="J131" s="66"/>
    </row>
    <row r="132" spans="8:10" ht="20.25" customHeight="1">
      <c r="H132" s="57">
        <v>129</v>
      </c>
      <c r="I132" s="65"/>
      <c r="J132" s="66"/>
    </row>
    <row r="133" spans="8:10" ht="20.25" customHeight="1">
      <c r="H133" s="57">
        <v>130</v>
      </c>
      <c r="I133" s="65"/>
      <c r="J133" s="66"/>
    </row>
    <row r="134" spans="8:10" ht="20.25" customHeight="1">
      <c r="H134" s="57">
        <v>131</v>
      </c>
      <c r="I134" s="65"/>
      <c r="J134" s="66"/>
    </row>
    <row r="135" spans="8:10" ht="20.25" customHeight="1">
      <c r="H135" s="57">
        <v>132</v>
      </c>
      <c r="I135" s="65"/>
      <c r="J135" s="66"/>
    </row>
    <row r="136" spans="8:10" ht="20.25" customHeight="1">
      <c r="H136" s="57">
        <v>133</v>
      </c>
      <c r="I136" s="65"/>
      <c r="J136" s="66"/>
    </row>
    <row r="137" spans="8:10" ht="20.25" customHeight="1">
      <c r="H137" s="57">
        <v>134</v>
      </c>
      <c r="I137" s="65"/>
      <c r="J137" s="66"/>
    </row>
    <row r="138" spans="8:10" ht="20.25" customHeight="1">
      <c r="H138" s="57">
        <v>135</v>
      </c>
      <c r="I138" s="65"/>
      <c r="J138" s="66"/>
    </row>
    <row r="139" spans="8:10" ht="20.25" customHeight="1">
      <c r="H139" s="57">
        <v>136</v>
      </c>
      <c r="I139" s="65"/>
      <c r="J139" s="66"/>
    </row>
    <row r="140" spans="8:10" ht="20.25" customHeight="1">
      <c r="H140" s="57">
        <v>137</v>
      </c>
      <c r="I140" s="65"/>
      <c r="J140" s="66"/>
    </row>
    <row r="141" spans="8:10" ht="20.25" customHeight="1">
      <c r="H141" s="57">
        <v>138</v>
      </c>
      <c r="I141" s="65"/>
      <c r="J141" s="66"/>
    </row>
    <row r="142" spans="8:10" ht="20.25" customHeight="1">
      <c r="H142" s="57">
        <v>139</v>
      </c>
      <c r="I142" s="65"/>
      <c r="J142" s="66"/>
    </row>
    <row r="143" spans="8:10" ht="20.25" customHeight="1">
      <c r="H143" s="57">
        <v>140</v>
      </c>
      <c r="I143" s="65"/>
      <c r="J143" s="66"/>
    </row>
    <row r="144" spans="8:10" ht="20.25" customHeight="1">
      <c r="H144" s="57">
        <v>141</v>
      </c>
      <c r="I144" s="65"/>
      <c r="J144" s="66"/>
    </row>
    <row r="145" spans="8:10" ht="20.25" customHeight="1">
      <c r="H145" s="57">
        <v>142</v>
      </c>
      <c r="I145" s="65"/>
      <c r="J145" s="66"/>
    </row>
    <row r="146" spans="8:10" ht="20.25" customHeight="1">
      <c r="H146" s="57">
        <v>143</v>
      </c>
      <c r="I146" s="65"/>
      <c r="J146" s="66"/>
    </row>
    <row r="147" spans="8:10" ht="20.25" customHeight="1">
      <c r="H147" s="57">
        <v>144</v>
      </c>
      <c r="I147" s="65"/>
      <c r="J147" s="66"/>
    </row>
    <row r="148" spans="8:10" ht="20.25" customHeight="1">
      <c r="H148" s="57">
        <v>145</v>
      </c>
      <c r="I148" s="65"/>
      <c r="J148" s="66"/>
    </row>
    <row r="149" spans="8:10" ht="20.25" customHeight="1">
      <c r="H149" s="57">
        <v>146</v>
      </c>
      <c r="I149" s="65"/>
      <c r="J149" s="66"/>
    </row>
    <row r="150" spans="8:10" ht="20.25" customHeight="1">
      <c r="H150" s="57">
        <v>147</v>
      </c>
      <c r="I150" s="65"/>
      <c r="J150" s="66"/>
    </row>
    <row r="151" spans="8:10" ht="20.25" customHeight="1">
      <c r="H151" s="57">
        <v>148</v>
      </c>
      <c r="I151" s="65"/>
      <c r="J151" s="66"/>
    </row>
    <row r="152" spans="8:10" ht="20.25" customHeight="1">
      <c r="H152" s="57">
        <v>149</v>
      </c>
      <c r="I152" s="65"/>
      <c r="J152" s="66"/>
    </row>
    <row r="153" spans="8:10" ht="20.25" customHeight="1">
      <c r="H153" s="57">
        <v>150</v>
      </c>
      <c r="I153" s="65"/>
      <c r="J153" s="66"/>
    </row>
    <row r="154" spans="8:10" ht="20.25" customHeight="1">
      <c r="H154" s="57">
        <v>151</v>
      </c>
      <c r="I154" s="65"/>
      <c r="J154" s="66"/>
    </row>
    <row r="155" spans="8:10" ht="20.25" customHeight="1">
      <c r="H155" s="57">
        <v>152</v>
      </c>
      <c r="I155" s="65"/>
      <c r="J155" s="66"/>
    </row>
    <row r="156" spans="8:10" ht="20.25" customHeight="1">
      <c r="H156" s="57">
        <v>153</v>
      </c>
      <c r="I156" s="65"/>
      <c r="J156" s="66"/>
    </row>
    <row r="157" spans="8:10" ht="20.25" customHeight="1">
      <c r="H157" s="57">
        <v>154</v>
      </c>
      <c r="I157" s="65"/>
      <c r="J157" s="66"/>
    </row>
    <row r="158" spans="8:10" ht="20.25" customHeight="1">
      <c r="H158" s="57">
        <v>155</v>
      </c>
      <c r="I158" s="65"/>
      <c r="J158" s="66"/>
    </row>
    <row r="159" spans="8:10" ht="20.25" customHeight="1">
      <c r="H159" s="57">
        <v>156</v>
      </c>
      <c r="I159" s="65"/>
      <c r="J159" s="66"/>
    </row>
    <row r="160" spans="8:10" ht="20.25" customHeight="1">
      <c r="H160" s="57">
        <v>157</v>
      </c>
      <c r="I160" s="65"/>
      <c r="J160" s="66"/>
    </row>
    <row r="161" spans="8:10" ht="20.25" customHeight="1">
      <c r="H161" s="57">
        <v>158</v>
      </c>
      <c r="I161" s="65"/>
      <c r="J161" s="66"/>
    </row>
    <row r="162" spans="8:10" ht="20.25" customHeight="1">
      <c r="H162" s="57">
        <v>159</v>
      </c>
      <c r="I162" s="65"/>
      <c r="J162" s="66"/>
    </row>
    <row r="163" spans="8:10" ht="20.25" customHeight="1">
      <c r="H163" s="57">
        <v>160</v>
      </c>
      <c r="I163" s="65"/>
      <c r="J163" s="66"/>
    </row>
    <row r="164" spans="8:10" ht="20.25" customHeight="1">
      <c r="H164" s="57">
        <v>161</v>
      </c>
      <c r="I164" s="65"/>
      <c r="J164" s="66"/>
    </row>
    <row r="165" spans="8:10" ht="20.25" customHeight="1">
      <c r="H165" s="57">
        <v>162</v>
      </c>
      <c r="I165" s="65"/>
      <c r="J165" s="66"/>
    </row>
    <row r="166" spans="8:10" ht="20.25" customHeight="1">
      <c r="H166" s="57">
        <v>163</v>
      </c>
      <c r="I166" s="65"/>
      <c r="J166" s="66"/>
    </row>
    <row r="167" spans="8:10" ht="20.25" customHeight="1">
      <c r="H167" s="57">
        <v>164</v>
      </c>
      <c r="I167" s="65"/>
      <c r="J167" s="66"/>
    </row>
    <row r="168" spans="8:10" ht="20.25" customHeight="1">
      <c r="H168" s="57">
        <v>165</v>
      </c>
      <c r="I168" s="65"/>
      <c r="J168" s="66"/>
    </row>
    <row r="169" spans="8:10" ht="20.25" customHeight="1">
      <c r="H169" s="57">
        <v>166</v>
      </c>
      <c r="I169" s="65"/>
      <c r="J169" s="66"/>
    </row>
    <row r="170" spans="8:10" ht="20.25" customHeight="1">
      <c r="H170" s="57">
        <v>167</v>
      </c>
      <c r="I170" s="65"/>
      <c r="J170" s="66"/>
    </row>
    <row r="171" spans="8:10" ht="20.25" customHeight="1">
      <c r="H171" s="57">
        <v>168</v>
      </c>
      <c r="I171" s="65"/>
      <c r="J171" s="66"/>
    </row>
    <row r="172" spans="8:10" ht="20.25" customHeight="1">
      <c r="H172" s="57">
        <v>169</v>
      </c>
      <c r="I172" s="65"/>
      <c r="J172" s="66"/>
    </row>
    <row r="173" spans="8:10" ht="20.25" customHeight="1">
      <c r="H173" s="57">
        <v>170</v>
      </c>
      <c r="I173" s="65"/>
      <c r="J173" s="66"/>
    </row>
    <row r="174" spans="8:10" ht="20.25" customHeight="1">
      <c r="H174" s="57">
        <v>171</v>
      </c>
      <c r="I174" s="65"/>
      <c r="J174" s="66"/>
    </row>
    <row r="175" spans="8:10" ht="20.25" customHeight="1">
      <c r="H175" s="57">
        <v>172</v>
      </c>
      <c r="I175" s="65"/>
      <c r="J175" s="66"/>
    </row>
    <row r="176" spans="8:10" ht="20.25" customHeight="1">
      <c r="H176" s="57">
        <v>173</v>
      </c>
      <c r="I176" s="65"/>
      <c r="J176" s="66"/>
    </row>
    <row r="177" spans="8:10" ht="20.25" customHeight="1">
      <c r="H177" s="57">
        <v>174</v>
      </c>
      <c r="I177" s="65"/>
      <c r="J177" s="66"/>
    </row>
    <row r="178" spans="8:10" ht="20.25" customHeight="1">
      <c r="H178" s="57">
        <v>175</v>
      </c>
      <c r="I178" s="65"/>
      <c r="J178" s="66"/>
    </row>
    <row r="179" spans="8:10" ht="20.25" customHeight="1">
      <c r="H179" s="57">
        <v>176</v>
      </c>
      <c r="I179" s="65"/>
      <c r="J179" s="66"/>
    </row>
    <row r="180" spans="8:10" ht="20.25" customHeight="1">
      <c r="H180" s="57">
        <v>177</v>
      </c>
      <c r="I180" s="65"/>
      <c r="J180" s="66"/>
    </row>
    <row r="181" spans="8:10" ht="20.25" customHeight="1">
      <c r="H181" s="57">
        <v>178</v>
      </c>
      <c r="I181" s="65"/>
      <c r="J181" s="66"/>
    </row>
    <row r="182" spans="8:10" ht="20.25" customHeight="1">
      <c r="H182" s="57">
        <v>179</v>
      </c>
      <c r="I182" s="65"/>
      <c r="J182" s="66"/>
    </row>
    <row r="183" spans="8:10" ht="20.25" customHeight="1">
      <c r="H183" s="57">
        <v>180</v>
      </c>
      <c r="I183" s="65"/>
      <c r="J183" s="66"/>
    </row>
    <row r="184" spans="8:10" ht="20.25" customHeight="1">
      <c r="H184" s="57">
        <v>181</v>
      </c>
      <c r="I184" s="65"/>
      <c r="J184" s="66"/>
    </row>
    <row r="185" spans="8:10" ht="20.25" customHeight="1">
      <c r="H185" s="57">
        <v>182</v>
      </c>
      <c r="I185" s="65"/>
      <c r="J185" s="66"/>
    </row>
    <row r="186" spans="8:10" ht="20.25" customHeight="1">
      <c r="H186" s="57">
        <v>183</v>
      </c>
      <c r="I186" s="65"/>
      <c r="J186" s="66"/>
    </row>
    <row r="187" spans="8:10" ht="20.25" customHeight="1">
      <c r="H187" s="57">
        <v>184</v>
      </c>
      <c r="I187" s="65"/>
      <c r="J187" s="66"/>
    </row>
    <row r="188" spans="8:10" ht="20.25" customHeight="1">
      <c r="H188" s="57">
        <v>185</v>
      </c>
      <c r="I188" s="65"/>
      <c r="J188" s="66"/>
    </row>
    <row r="189" spans="8:10" ht="20.25" customHeight="1">
      <c r="H189" s="57">
        <v>186</v>
      </c>
      <c r="I189" s="65"/>
      <c r="J189" s="66"/>
    </row>
    <row r="190" spans="8:10" ht="20.25" customHeight="1">
      <c r="H190" s="57">
        <v>187</v>
      </c>
      <c r="I190" s="65"/>
      <c r="J190" s="66"/>
    </row>
    <row r="191" spans="8:10" ht="20.25" customHeight="1">
      <c r="H191" s="57">
        <v>188</v>
      </c>
      <c r="I191" s="65"/>
      <c r="J191" s="66"/>
    </row>
    <row r="192" spans="8:10" ht="20.25" customHeight="1">
      <c r="H192" s="57">
        <v>189</v>
      </c>
      <c r="I192" s="65"/>
      <c r="J192" s="66"/>
    </row>
    <row r="193" spans="8:10" ht="20.25" customHeight="1">
      <c r="H193" s="57">
        <v>190</v>
      </c>
      <c r="I193" s="65"/>
      <c r="J193" s="66"/>
    </row>
    <row r="194" spans="8:10" ht="20.25" customHeight="1">
      <c r="H194" s="57">
        <v>191</v>
      </c>
      <c r="I194" s="65"/>
      <c r="J194" s="66"/>
    </row>
    <row r="195" spans="8:10" ht="20.25" customHeight="1">
      <c r="H195" s="57">
        <v>192</v>
      </c>
      <c r="I195" s="65"/>
      <c r="J195" s="66"/>
    </row>
    <row r="196" spans="8:10" ht="20.25" customHeight="1">
      <c r="H196" s="57">
        <v>193</v>
      </c>
      <c r="I196" s="65"/>
      <c r="J196" s="66"/>
    </row>
    <row r="197" spans="8:10" ht="20.25" customHeight="1">
      <c r="H197" s="57">
        <v>194</v>
      </c>
      <c r="I197" s="65"/>
      <c r="J197" s="66"/>
    </row>
    <row r="198" spans="8:10" ht="20.25" customHeight="1">
      <c r="H198" s="57">
        <v>195</v>
      </c>
      <c r="I198" s="65"/>
      <c r="J198" s="66"/>
    </row>
    <row r="199" spans="8:10" ht="20.25" customHeight="1">
      <c r="H199" s="57">
        <v>196</v>
      </c>
      <c r="I199" s="65"/>
      <c r="J199" s="66"/>
    </row>
    <row r="200" spans="8:10" ht="20.25" customHeight="1">
      <c r="H200" s="57">
        <v>197</v>
      </c>
      <c r="I200" s="65"/>
      <c r="J200" s="66"/>
    </row>
    <row r="201" spans="8:10" ht="20.25" customHeight="1">
      <c r="H201" s="57">
        <v>198</v>
      </c>
      <c r="I201" s="65"/>
      <c r="J201" s="66"/>
    </row>
    <row r="202" spans="8:10" ht="20.25" customHeight="1">
      <c r="H202" s="57">
        <v>199</v>
      </c>
      <c r="I202" s="65"/>
      <c r="J202" s="66"/>
    </row>
    <row r="203" spans="8:10" ht="20.25" customHeight="1">
      <c r="H203" s="57">
        <v>200</v>
      </c>
      <c r="I203" s="65"/>
      <c r="J203" s="66"/>
    </row>
    <row r="204" spans="8:10" ht="20.25" customHeight="1"/>
    <row r="205" spans="8:10" ht="20.25" customHeight="1"/>
    <row r="206" spans="8:10" ht="20.25" customHeight="1"/>
    <row r="207" spans="8:10" ht="20.25" customHeight="1"/>
    <row r="208" spans="8:10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</sheetData>
  <sheetProtection sheet="1" objects="1" scenarios="1"/>
  <mergeCells count="7">
    <mergeCell ref="B17:D17"/>
    <mergeCell ref="B18:D18"/>
    <mergeCell ref="B2:F2"/>
    <mergeCell ref="H2:L2"/>
    <mergeCell ref="O2:V2"/>
    <mergeCell ref="B3:F3"/>
    <mergeCell ref="B16:D16"/>
  </mergeCells>
  <conditionalFormatting sqref="F18:G18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dataValidations count="4">
    <dataValidation showInputMessage="1" showErrorMessage="1" sqref="G3" xr:uid="{00000000-0002-0000-0C00-000000000000}"/>
    <dataValidation type="decimal" operator="greaterThanOrEqual" allowBlank="1" showInputMessage="1" showErrorMessage="1" sqref="I4:J203" xr:uid="{00000000-0002-0000-0C00-000001000000}">
      <formula1>0</formula1>
    </dataValidation>
    <dataValidation type="decimal" operator="greaterThan" allowBlank="1" showInputMessage="1" showErrorMessage="1" sqref="D4:D15 F17" xr:uid="{00000000-0002-0000-0C00-000002000000}">
      <formula1>-1</formula1>
    </dataValidation>
    <dataValidation type="list" showInputMessage="1" showErrorMessage="1" sqref="B3:F3" xr:uid="{00000000-0002-0000-0C00-000003000000}">
      <formula1>n_type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I304"/>
  <sheetViews>
    <sheetView showGridLines="0" workbookViewId="0">
      <selection activeCell="E5" sqref="E5"/>
    </sheetView>
  </sheetViews>
  <sheetFormatPr defaultRowHeight="20.25" customHeight="1"/>
  <cols>
    <col min="1" max="1" width="5.140625" style="2" bestFit="1" customWidth="1"/>
    <col min="2" max="2" width="21.85546875" style="17" customWidth="1"/>
    <col min="3" max="3" width="21.85546875" style="18" customWidth="1"/>
    <col min="4" max="4" width="21.85546875" style="19" customWidth="1"/>
    <col min="5" max="5" width="26.85546875" style="19" customWidth="1"/>
    <col min="6" max="6" width="2.140625" style="2" customWidth="1"/>
    <col min="7" max="7" width="26.7109375" style="2" bestFit="1" customWidth="1"/>
    <col min="8" max="8" width="2.140625" style="2" bestFit="1" customWidth="1"/>
    <col min="9" max="9" width="23.28515625" style="3" customWidth="1"/>
    <col min="10" max="16384" width="9.140625" style="2"/>
  </cols>
  <sheetData>
    <row r="2" spans="1:9" ht="25.5" customHeight="1">
      <c r="A2" s="29" t="s">
        <v>46</v>
      </c>
      <c r="B2" s="29"/>
      <c r="C2" s="29"/>
      <c r="D2" s="29"/>
      <c r="E2" s="29"/>
    </row>
    <row r="3" spans="1:9" ht="33.75" customHeight="1">
      <c r="A3" s="5" t="s">
        <v>51</v>
      </c>
      <c r="B3" s="6" t="s">
        <v>49</v>
      </c>
      <c r="C3" s="7" t="s">
        <v>50</v>
      </c>
      <c r="D3" s="8" t="s">
        <v>48</v>
      </c>
      <c r="E3" s="8" t="s">
        <v>3</v>
      </c>
      <c r="G3" s="25" t="s">
        <v>57</v>
      </c>
      <c r="H3" s="25"/>
      <c r="I3" s="25" t="s">
        <v>2</v>
      </c>
    </row>
    <row r="4" spans="1:9" ht="20.25" customHeight="1">
      <c r="A4" s="28" t="s">
        <v>47</v>
      </c>
      <c r="B4" s="28"/>
      <c r="C4" s="28"/>
      <c r="D4" s="24">
        <v>2753030491.5</v>
      </c>
      <c r="E4" s="23"/>
      <c r="G4" s="9" t="s">
        <v>52</v>
      </c>
      <c r="H4" s="10" t="s">
        <v>1</v>
      </c>
      <c r="I4" s="11">
        <f>D4</f>
        <v>2753030491.5</v>
      </c>
    </row>
    <row r="5" spans="1:9" ht="20.25" customHeight="1">
      <c r="A5" s="12">
        <v>1</v>
      </c>
      <c r="B5" s="20"/>
      <c r="C5" s="21">
        <v>0</v>
      </c>
      <c r="D5" s="13">
        <f>D4+C5-B5</f>
        <v>2753030491.5</v>
      </c>
      <c r="E5" s="23"/>
      <c r="G5" s="9" t="s">
        <v>53</v>
      </c>
      <c r="H5" s="10" t="s">
        <v>1</v>
      </c>
      <c r="I5" s="11">
        <f>D304</f>
        <v>2753030491.5</v>
      </c>
    </row>
    <row r="6" spans="1:9" ht="20.25" customHeight="1">
      <c r="A6" s="12">
        <v>2</v>
      </c>
      <c r="B6" s="20">
        <v>0</v>
      </c>
      <c r="C6" s="21">
        <v>0</v>
      </c>
      <c r="D6" s="13">
        <f t="shared" ref="D6:D69" si="0">D5+C6-B6</f>
        <v>2753030491.5</v>
      </c>
      <c r="E6" s="23"/>
      <c r="G6" s="14" t="s">
        <v>56</v>
      </c>
      <c r="H6" s="4" t="s">
        <v>1</v>
      </c>
      <c r="I6" s="15">
        <f>I5-I4</f>
        <v>0</v>
      </c>
    </row>
    <row r="7" spans="1:9" ht="20.25" customHeight="1">
      <c r="A7" s="12">
        <v>3</v>
      </c>
      <c r="B7" s="20"/>
      <c r="C7" s="21">
        <v>0</v>
      </c>
      <c r="D7" s="13">
        <f t="shared" si="0"/>
        <v>2753030491.5</v>
      </c>
      <c r="E7" s="23"/>
      <c r="G7" s="16" t="s">
        <v>55</v>
      </c>
      <c r="H7" s="16" t="s">
        <v>1</v>
      </c>
      <c r="I7" s="22">
        <v>38411</v>
      </c>
    </row>
    <row r="8" spans="1:9" ht="20.25" customHeight="1">
      <c r="A8" s="12">
        <v>4</v>
      </c>
      <c r="B8" s="20"/>
      <c r="C8" s="21"/>
      <c r="D8" s="13">
        <f t="shared" si="0"/>
        <v>2753030491.5</v>
      </c>
      <c r="E8" s="23"/>
      <c r="G8" s="26" t="s">
        <v>54</v>
      </c>
      <c r="H8" s="26" t="s">
        <v>1</v>
      </c>
      <c r="I8" s="27">
        <f>I5+I7</f>
        <v>2753068902.5</v>
      </c>
    </row>
    <row r="9" spans="1:9" ht="20.25" customHeight="1">
      <c r="A9" s="12">
        <v>5</v>
      </c>
      <c r="B9" s="20"/>
      <c r="C9" s="21"/>
      <c r="D9" s="13">
        <f t="shared" si="0"/>
        <v>2753030491.5</v>
      </c>
      <c r="E9" s="23"/>
    </row>
    <row r="10" spans="1:9" ht="20.25" customHeight="1">
      <c r="A10" s="12">
        <v>6</v>
      </c>
      <c r="B10" s="20"/>
      <c r="C10" s="21"/>
      <c r="D10" s="13">
        <f t="shared" si="0"/>
        <v>2753030491.5</v>
      </c>
      <c r="E10" s="23"/>
    </row>
    <row r="11" spans="1:9" ht="20.25" customHeight="1">
      <c r="A11" s="12">
        <v>7</v>
      </c>
      <c r="B11" s="20"/>
      <c r="C11" s="21"/>
      <c r="D11" s="13">
        <f t="shared" si="0"/>
        <v>2753030491.5</v>
      </c>
      <c r="E11" s="23"/>
    </row>
    <row r="12" spans="1:9" ht="20.25" customHeight="1">
      <c r="A12" s="12">
        <v>8</v>
      </c>
      <c r="B12" s="20"/>
      <c r="C12" s="21"/>
      <c r="D12" s="13">
        <f t="shared" si="0"/>
        <v>2753030491.5</v>
      </c>
      <c r="E12" s="23"/>
    </row>
    <row r="13" spans="1:9" ht="20.25" customHeight="1">
      <c r="A13" s="12">
        <v>9</v>
      </c>
      <c r="B13" s="20"/>
      <c r="C13" s="21"/>
      <c r="D13" s="13">
        <f t="shared" si="0"/>
        <v>2753030491.5</v>
      </c>
      <c r="E13" s="23"/>
    </row>
    <row r="14" spans="1:9" ht="20.25" customHeight="1">
      <c r="A14" s="12">
        <v>10</v>
      </c>
      <c r="B14" s="20"/>
      <c r="C14" s="21"/>
      <c r="D14" s="13">
        <f t="shared" si="0"/>
        <v>2753030491.5</v>
      </c>
      <c r="E14" s="23"/>
    </row>
    <row r="15" spans="1:9" ht="20.25" customHeight="1">
      <c r="A15" s="12">
        <v>11</v>
      </c>
      <c r="B15" s="20"/>
      <c r="C15" s="21"/>
      <c r="D15" s="13">
        <f t="shared" si="0"/>
        <v>2753030491.5</v>
      </c>
      <c r="E15" s="23"/>
    </row>
    <row r="16" spans="1:9" ht="20.25" customHeight="1">
      <c r="A16" s="12">
        <v>12</v>
      </c>
      <c r="B16" s="20"/>
      <c r="C16" s="21"/>
      <c r="D16" s="13">
        <f t="shared" si="0"/>
        <v>2753030491.5</v>
      </c>
      <c r="E16" s="23"/>
    </row>
    <row r="17" spans="1:5" ht="20.25" customHeight="1">
      <c r="A17" s="12">
        <v>13</v>
      </c>
      <c r="B17" s="20"/>
      <c r="C17" s="21"/>
      <c r="D17" s="13">
        <f t="shared" si="0"/>
        <v>2753030491.5</v>
      </c>
      <c r="E17" s="23"/>
    </row>
    <row r="18" spans="1:5" ht="20.25" customHeight="1">
      <c r="A18" s="12">
        <v>14</v>
      </c>
      <c r="B18" s="20"/>
      <c r="C18" s="21"/>
      <c r="D18" s="13">
        <f t="shared" si="0"/>
        <v>2753030491.5</v>
      </c>
      <c r="E18" s="23"/>
    </row>
    <row r="19" spans="1:5" ht="20.25" customHeight="1">
      <c r="A19" s="12">
        <v>15</v>
      </c>
      <c r="B19" s="20"/>
      <c r="C19" s="21"/>
      <c r="D19" s="13">
        <f t="shared" si="0"/>
        <v>2753030491.5</v>
      </c>
      <c r="E19" s="23"/>
    </row>
    <row r="20" spans="1:5" ht="20.25" customHeight="1">
      <c r="A20" s="12">
        <v>16</v>
      </c>
      <c r="B20" s="20"/>
      <c r="C20" s="21"/>
      <c r="D20" s="13">
        <f t="shared" si="0"/>
        <v>2753030491.5</v>
      </c>
      <c r="E20" s="23"/>
    </row>
    <row r="21" spans="1:5" ht="20.25" customHeight="1">
      <c r="A21" s="12">
        <v>17</v>
      </c>
      <c r="B21" s="20"/>
      <c r="C21" s="21"/>
      <c r="D21" s="13">
        <f t="shared" si="0"/>
        <v>2753030491.5</v>
      </c>
      <c r="E21" s="23"/>
    </row>
    <row r="22" spans="1:5" ht="20.25" customHeight="1">
      <c r="A22" s="12">
        <v>18</v>
      </c>
      <c r="B22" s="20"/>
      <c r="C22" s="21"/>
      <c r="D22" s="13">
        <f t="shared" si="0"/>
        <v>2753030491.5</v>
      </c>
      <c r="E22" s="23"/>
    </row>
    <row r="23" spans="1:5" ht="20.25" customHeight="1">
      <c r="A23" s="12">
        <v>19</v>
      </c>
      <c r="B23" s="20"/>
      <c r="C23" s="21"/>
      <c r="D23" s="13">
        <f t="shared" si="0"/>
        <v>2753030491.5</v>
      </c>
      <c r="E23" s="23"/>
    </row>
    <row r="24" spans="1:5" ht="20.25" customHeight="1">
      <c r="A24" s="12">
        <v>20</v>
      </c>
      <c r="B24" s="20"/>
      <c r="C24" s="21"/>
      <c r="D24" s="13">
        <f t="shared" si="0"/>
        <v>2753030491.5</v>
      </c>
      <c r="E24" s="23"/>
    </row>
    <row r="25" spans="1:5" ht="20.25" customHeight="1">
      <c r="A25" s="12">
        <v>21</v>
      </c>
      <c r="B25" s="20"/>
      <c r="C25" s="21"/>
      <c r="D25" s="13">
        <f t="shared" si="0"/>
        <v>2753030491.5</v>
      </c>
      <c r="E25" s="23"/>
    </row>
    <row r="26" spans="1:5" ht="20.25" customHeight="1">
      <c r="A26" s="12">
        <v>22</v>
      </c>
      <c r="B26" s="20"/>
      <c r="C26" s="21"/>
      <c r="D26" s="13">
        <f t="shared" si="0"/>
        <v>2753030491.5</v>
      </c>
      <c r="E26" s="23"/>
    </row>
    <row r="27" spans="1:5" ht="20.25" customHeight="1">
      <c r="A27" s="12">
        <v>23</v>
      </c>
      <c r="B27" s="20"/>
      <c r="C27" s="21"/>
      <c r="D27" s="13">
        <f t="shared" si="0"/>
        <v>2753030491.5</v>
      </c>
      <c r="E27" s="23"/>
    </row>
    <row r="28" spans="1:5" ht="20.25" customHeight="1">
      <c r="A28" s="12">
        <v>24</v>
      </c>
      <c r="B28" s="20"/>
      <c r="C28" s="21"/>
      <c r="D28" s="13">
        <f t="shared" si="0"/>
        <v>2753030491.5</v>
      </c>
      <c r="E28" s="23"/>
    </row>
    <row r="29" spans="1:5" ht="20.25" customHeight="1">
      <c r="A29" s="12">
        <v>25</v>
      </c>
      <c r="B29" s="20"/>
      <c r="C29" s="21"/>
      <c r="D29" s="13">
        <f t="shared" si="0"/>
        <v>2753030491.5</v>
      </c>
      <c r="E29" s="23"/>
    </row>
    <row r="30" spans="1:5" ht="20.25" customHeight="1">
      <c r="A30" s="12">
        <v>26</v>
      </c>
      <c r="B30" s="20"/>
      <c r="C30" s="21"/>
      <c r="D30" s="13">
        <f t="shared" si="0"/>
        <v>2753030491.5</v>
      </c>
      <c r="E30" s="23"/>
    </row>
    <row r="31" spans="1:5" ht="20.25" customHeight="1">
      <c r="A31" s="12">
        <v>27</v>
      </c>
      <c r="B31" s="20"/>
      <c r="C31" s="21"/>
      <c r="D31" s="13">
        <f t="shared" si="0"/>
        <v>2753030491.5</v>
      </c>
      <c r="E31" s="23"/>
    </row>
    <row r="32" spans="1:5" ht="20.25" customHeight="1">
      <c r="A32" s="12">
        <v>28</v>
      </c>
      <c r="B32" s="20"/>
      <c r="C32" s="21"/>
      <c r="D32" s="13">
        <f t="shared" si="0"/>
        <v>2753030491.5</v>
      </c>
      <c r="E32" s="23"/>
    </row>
    <row r="33" spans="1:5" ht="20.25" customHeight="1">
      <c r="A33" s="12">
        <v>29</v>
      </c>
      <c r="B33" s="20"/>
      <c r="C33" s="21"/>
      <c r="D33" s="13">
        <f t="shared" si="0"/>
        <v>2753030491.5</v>
      </c>
      <c r="E33" s="23"/>
    </row>
    <row r="34" spans="1:5" ht="20.25" customHeight="1">
      <c r="A34" s="12">
        <v>30</v>
      </c>
      <c r="B34" s="20"/>
      <c r="C34" s="21"/>
      <c r="D34" s="13">
        <f t="shared" si="0"/>
        <v>2753030491.5</v>
      </c>
      <c r="E34" s="23"/>
    </row>
    <row r="35" spans="1:5" ht="20.25" customHeight="1">
      <c r="A35" s="12">
        <v>31</v>
      </c>
      <c r="B35" s="20"/>
      <c r="C35" s="21"/>
      <c r="D35" s="13">
        <f t="shared" si="0"/>
        <v>2753030491.5</v>
      </c>
      <c r="E35" s="23"/>
    </row>
    <row r="36" spans="1:5" ht="20.25" customHeight="1">
      <c r="A36" s="12">
        <v>32</v>
      </c>
      <c r="B36" s="20"/>
      <c r="C36" s="21"/>
      <c r="D36" s="13">
        <f t="shared" si="0"/>
        <v>2753030491.5</v>
      </c>
      <c r="E36" s="23"/>
    </row>
    <row r="37" spans="1:5" ht="20.25" customHeight="1">
      <c r="A37" s="12">
        <v>33</v>
      </c>
      <c r="B37" s="20"/>
      <c r="C37" s="21"/>
      <c r="D37" s="13">
        <f t="shared" si="0"/>
        <v>2753030491.5</v>
      </c>
      <c r="E37" s="23"/>
    </row>
    <row r="38" spans="1:5" ht="20.25" customHeight="1">
      <c r="A38" s="12">
        <v>34</v>
      </c>
      <c r="B38" s="20"/>
      <c r="C38" s="21"/>
      <c r="D38" s="13">
        <f t="shared" si="0"/>
        <v>2753030491.5</v>
      </c>
      <c r="E38" s="23"/>
    </row>
    <row r="39" spans="1:5" ht="20.25" customHeight="1">
      <c r="A39" s="12">
        <v>35</v>
      </c>
      <c r="B39" s="20"/>
      <c r="C39" s="21"/>
      <c r="D39" s="13">
        <f t="shared" si="0"/>
        <v>2753030491.5</v>
      </c>
      <c r="E39" s="23"/>
    </row>
    <row r="40" spans="1:5" ht="20.25" customHeight="1">
      <c r="A40" s="12">
        <v>36</v>
      </c>
      <c r="B40" s="20"/>
      <c r="C40" s="21"/>
      <c r="D40" s="13">
        <f t="shared" si="0"/>
        <v>2753030491.5</v>
      </c>
      <c r="E40" s="23"/>
    </row>
    <row r="41" spans="1:5" ht="20.25" customHeight="1">
      <c r="A41" s="12">
        <v>37</v>
      </c>
      <c r="B41" s="20"/>
      <c r="C41" s="21"/>
      <c r="D41" s="13">
        <f t="shared" si="0"/>
        <v>2753030491.5</v>
      </c>
      <c r="E41" s="23"/>
    </row>
    <row r="42" spans="1:5" ht="20.25" customHeight="1">
      <c r="A42" s="12">
        <v>38</v>
      </c>
      <c r="B42" s="20"/>
      <c r="C42" s="21"/>
      <c r="D42" s="13">
        <f t="shared" si="0"/>
        <v>2753030491.5</v>
      </c>
      <c r="E42" s="23"/>
    </row>
    <row r="43" spans="1:5" ht="20.25" customHeight="1">
      <c r="A43" s="12">
        <v>39</v>
      </c>
      <c r="B43" s="20"/>
      <c r="C43" s="21"/>
      <c r="D43" s="13">
        <f t="shared" si="0"/>
        <v>2753030491.5</v>
      </c>
      <c r="E43" s="23"/>
    </row>
    <row r="44" spans="1:5" ht="20.25" customHeight="1">
      <c r="A44" s="12">
        <v>40</v>
      </c>
      <c r="B44" s="20"/>
      <c r="C44" s="21"/>
      <c r="D44" s="13">
        <f t="shared" si="0"/>
        <v>2753030491.5</v>
      </c>
      <c r="E44" s="23"/>
    </row>
    <row r="45" spans="1:5" ht="20.25" customHeight="1">
      <c r="A45" s="12">
        <v>41</v>
      </c>
      <c r="B45" s="20"/>
      <c r="C45" s="21"/>
      <c r="D45" s="13">
        <f t="shared" si="0"/>
        <v>2753030491.5</v>
      </c>
      <c r="E45" s="23"/>
    </row>
    <row r="46" spans="1:5" ht="20.25" customHeight="1">
      <c r="A46" s="12">
        <v>42</v>
      </c>
      <c r="B46" s="20"/>
      <c r="C46" s="21"/>
      <c r="D46" s="13">
        <f t="shared" si="0"/>
        <v>2753030491.5</v>
      </c>
      <c r="E46" s="23"/>
    </row>
    <row r="47" spans="1:5" ht="20.25" customHeight="1">
      <c r="A47" s="12">
        <v>43</v>
      </c>
      <c r="B47" s="20"/>
      <c r="C47" s="21"/>
      <c r="D47" s="13">
        <f t="shared" si="0"/>
        <v>2753030491.5</v>
      </c>
      <c r="E47" s="23"/>
    </row>
    <row r="48" spans="1:5" ht="20.25" customHeight="1">
      <c r="A48" s="12">
        <v>44</v>
      </c>
      <c r="B48" s="20"/>
      <c r="C48" s="21"/>
      <c r="D48" s="13">
        <f t="shared" si="0"/>
        <v>2753030491.5</v>
      </c>
      <c r="E48" s="23"/>
    </row>
    <row r="49" spans="1:5" ht="20.25" customHeight="1">
      <c r="A49" s="12">
        <v>45</v>
      </c>
      <c r="B49" s="20"/>
      <c r="C49" s="21"/>
      <c r="D49" s="13">
        <f t="shared" si="0"/>
        <v>2753030491.5</v>
      </c>
      <c r="E49" s="23"/>
    </row>
    <row r="50" spans="1:5" ht="20.25" customHeight="1">
      <c r="A50" s="12">
        <v>46</v>
      </c>
      <c r="B50" s="20"/>
      <c r="C50" s="21"/>
      <c r="D50" s="13">
        <f t="shared" si="0"/>
        <v>2753030491.5</v>
      </c>
      <c r="E50" s="23"/>
    </row>
    <row r="51" spans="1:5" ht="20.25" customHeight="1">
      <c r="A51" s="12">
        <v>47</v>
      </c>
      <c r="B51" s="20"/>
      <c r="C51" s="21"/>
      <c r="D51" s="13">
        <f t="shared" si="0"/>
        <v>2753030491.5</v>
      </c>
      <c r="E51" s="23"/>
    </row>
    <row r="52" spans="1:5" ht="20.25" customHeight="1">
      <c r="A52" s="12">
        <v>48</v>
      </c>
      <c r="B52" s="20"/>
      <c r="C52" s="21"/>
      <c r="D52" s="13">
        <f t="shared" si="0"/>
        <v>2753030491.5</v>
      </c>
      <c r="E52" s="23"/>
    </row>
    <row r="53" spans="1:5" ht="20.25" customHeight="1">
      <c r="A53" s="12">
        <v>49</v>
      </c>
      <c r="B53" s="20"/>
      <c r="C53" s="21"/>
      <c r="D53" s="13">
        <f t="shared" si="0"/>
        <v>2753030491.5</v>
      </c>
      <c r="E53" s="23"/>
    </row>
    <row r="54" spans="1:5" ht="20.25" customHeight="1">
      <c r="A54" s="12">
        <v>50</v>
      </c>
      <c r="B54" s="20"/>
      <c r="C54" s="21"/>
      <c r="D54" s="13">
        <f t="shared" si="0"/>
        <v>2753030491.5</v>
      </c>
      <c r="E54" s="23"/>
    </row>
    <row r="55" spans="1:5" ht="20.25" customHeight="1">
      <c r="A55" s="12">
        <v>51</v>
      </c>
      <c r="B55" s="20"/>
      <c r="C55" s="21"/>
      <c r="D55" s="13">
        <f t="shared" si="0"/>
        <v>2753030491.5</v>
      </c>
      <c r="E55" s="23"/>
    </row>
    <row r="56" spans="1:5" ht="20.25" customHeight="1">
      <c r="A56" s="12">
        <v>52</v>
      </c>
      <c r="B56" s="20"/>
      <c r="C56" s="21"/>
      <c r="D56" s="13">
        <f t="shared" si="0"/>
        <v>2753030491.5</v>
      </c>
      <c r="E56" s="23"/>
    </row>
    <row r="57" spans="1:5" ht="20.25" customHeight="1">
      <c r="A57" s="12">
        <v>53</v>
      </c>
      <c r="B57" s="20"/>
      <c r="C57" s="21"/>
      <c r="D57" s="13">
        <f t="shared" si="0"/>
        <v>2753030491.5</v>
      </c>
      <c r="E57" s="23"/>
    </row>
    <row r="58" spans="1:5" ht="20.25" customHeight="1">
      <c r="A58" s="12">
        <v>54</v>
      </c>
      <c r="B58" s="20"/>
      <c r="C58" s="21"/>
      <c r="D58" s="13">
        <f t="shared" si="0"/>
        <v>2753030491.5</v>
      </c>
      <c r="E58" s="23"/>
    </row>
    <row r="59" spans="1:5" ht="20.25" customHeight="1">
      <c r="A59" s="12">
        <v>55</v>
      </c>
      <c r="B59" s="20"/>
      <c r="C59" s="21"/>
      <c r="D59" s="13">
        <f t="shared" si="0"/>
        <v>2753030491.5</v>
      </c>
      <c r="E59" s="23"/>
    </row>
    <row r="60" spans="1:5" ht="20.25" customHeight="1">
      <c r="A60" s="12">
        <v>56</v>
      </c>
      <c r="B60" s="20"/>
      <c r="C60" s="21"/>
      <c r="D60" s="13">
        <f t="shared" si="0"/>
        <v>2753030491.5</v>
      </c>
      <c r="E60" s="23"/>
    </row>
    <row r="61" spans="1:5" ht="20.25" customHeight="1">
      <c r="A61" s="12">
        <v>57</v>
      </c>
      <c r="B61" s="20"/>
      <c r="C61" s="21"/>
      <c r="D61" s="13">
        <f t="shared" si="0"/>
        <v>2753030491.5</v>
      </c>
      <c r="E61" s="23"/>
    </row>
    <row r="62" spans="1:5" ht="20.25" customHeight="1">
      <c r="A62" s="12">
        <v>58</v>
      </c>
      <c r="B62" s="20"/>
      <c r="C62" s="21"/>
      <c r="D62" s="13">
        <f t="shared" si="0"/>
        <v>2753030491.5</v>
      </c>
      <c r="E62" s="23"/>
    </row>
    <row r="63" spans="1:5" ht="20.25" customHeight="1">
      <c r="A63" s="12">
        <v>59</v>
      </c>
      <c r="B63" s="20"/>
      <c r="C63" s="21"/>
      <c r="D63" s="13">
        <f t="shared" si="0"/>
        <v>2753030491.5</v>
      </c>
      <c r="E63" s="23"/>
    </row>
    <row r="64" spans="1:5" ht="20.25" customHeight="1">
      <c r="A64" s="12">
        <v>60</v>
      </c>
      <c r="B64" s="20"/>
      <c r="C64" s="21"/>
      <c r="D64" s="13">
        <f t="shared" si="0"/>
        <v>2753030491.5</v>
      </c>
      <c r="E64" s="23"/>
    </row>
    <row r="65" spans="1:5" ht="20.25" customHeight="1">
      <c r="A65" s="12">
        <v>61</v>
      </c>
      <c r="B65" s="20"/>
      <c r="C65" s="21"/>
      <c r="D65" s="13">
        <f t="shared" si="0"/>
        <v>2753030491.5</v>
      </c>
      <c r="E65" s="23"/>
    </row>
    <row r="66" spans="1:5" ht="20.25" customHeight="1">
      <c r="A66" s="12">
        <v>62</v>
      </c>
      <c r="B66" s="20"/>
      <c r="C66" s="21"/>
      <c r="D66" s="13">
        <f t="shared" si="0"/>
        <v>2753030491.5</v>
      </c>
      <c r="E66" s="23"/>
    </row>
    <row r="67" spans="1:5" ht="20.25" customHeight="1">
      <c r="A67" s="12">
        <v>63</v>
      </c>
      <c r="B67" s="20"/>
      <c r="C67" s="21"/>
      <c r="D67" s="13">
        <f t="shared" si="0"/>
        <v>2753030491.5</v>
      </c>
      <c r="E67" s="23"/>
    </row>
    <row r="68" spans="1:5" ht="20.25" customHeight="1">
      <c r="A68" s="12">
        <v>64</v>
      </c>
      <c r="B68" s="20"/>
      <c r="C68" s="21"/>
      <c r="D68" s="13">
        <f t="shared" si="0"/>
        <v>2753030491.5</v>
      </c>
      <c r="E68" s="23"/>
    </row>
    <row r="69" spans="1:5" ht="20.25" customHeight="1">
      <c r="A69" s="12">
        <v>65</v>
      </c>
      <c r="B69" s="20"/>
      <c r="C69" s="21"/>
      <c r="D69" s="13">
        <f t="shared" si="0"/>
        <v>2753030491.5</v>
      </c>
      <c r="E69" s="23"/>
    </row>
    <row r="70" spans="1:5" ht="20.25" customHeight="1">
      <c r="A70" s="12">
        <v>66</v>
      </c>
      <c r="B70" s="20"/>
      <c r="C70" s="21"/>
      <c r="D70" s="13">
        <f t="shared" ref="D70:D133" si="1">D69+C70-B70</f>
        <v>2753030491.5</v>
      </c>
      <c r="E70" s="23"/>
    </row>
    <row r="71" spans="1:5" ht="20.25" customHeight="1">
      <c r="A71" s="12">
        <v>67</v>
      </c>
      <c r="B71" s="20"/>
      <c r="C71" s="21"/>
      <c r="D71" s="13">
        <f t="shared" si="1"/>
        <v>2753030491.5</v>
      </c>
      <c r="E71" s="23"/>
    </row>
    <row r="72" spans="1:5" ht="20.25" customHeight="1">
      <c r="A72" s="12">
        <v>68</v>
      </c>
      <c r="B72" s="20"/>
      <c r="C72" s="21"/>
      <c r="D72" s="13">
        <f t="shared" si="1"/>
        <v>2753030491.5</v>
      </c>
      <c r="E72" s="23"/>
    </row>
    <row r="73" spans="1:5" ht="20.25" customHeight="1">
      <c r="A73" s="12">
        <v>69</v>
      </c>
      <c r="B73" s="20"/>
      <c r="C73" s="21"/>
      <c r="D73" s="13">
        <f t="shared" si="1"/>
        <v>2753030491.5</v>
      </c>
      <c r="E73" s="23"/>
    </row>
    <row r="74" spans="1:5" ht="20.25" customHeight="1">
      <c r="A74" s="12">
        <v>70</v>
      </c>
      <c r="B74" s="20"/>
      <c r="C74" s="21"/>
      <c r="D74" s="13">
        <f t="shared" si="1"/>
        <v>2753030491.5</v>
      </c>
      <c r="E74" s="23"/>
    </row>
    <row r="75" spans="1:5" ht="20.25" customHeight="1">
      <c r="A75" s="12">
        <v>71</v>
      </c>
      <c r="B75" s="20"/>
      <c r="C75" s="21"/>
      <c r="D75" s="13">
        <f t="shared" si="1"/>
        <v>2753030491.5</v>
      </c>
      <c r="E75" s="23"/>
    </row>
    <row r="76" spans="1:5" ht="20.25" customHeight="1">
      <c r="A76" s="12">
        <v>72</v>
      </c>
      <c r="B76" s="20"/>
      <c r="C76" s="21"/>
      <c r="D76" s="13">
        <f t="shared" si="1"/>
        <v>2753030491.5</v>
      </c>
      <c r="E76" s="23"/>
    </row>
    <row r="77" spans="1:5" ht="20.25" customHeight="1">
      <c r="A77" s="12">
        <v>73</v>
      </c>
      <c r="B77" s="20"/>
      <c r="C77" s="21"/>
      <c r="D77" s="13">
        <f t="shared" si="1"/>
        <v>2753030491.5</v>
      </c>
      <c r="E77" s="23"/>
    </row>
    <row r="78" spans="1:5" ht="20.25" customHeight="1">
      <c r="A78" s="12">
        <v>74</v>
      </c>
      <c r="B78" s="20"/>
      <c r="C78" s="21"/>
      <c r="D78" s="13">
        <f t="shared" si="1"/>
        <v>2753030491.5</v>
      </c>
      <c r="E78" s="23"/>
    </row>
    <row r="79" spans="1:5" ht="20.25" customHeight="1">
      <c r="A79" s="12">
        <v>75</v>
      </c>
      <c r="B79" s="20"/>
      <c r="C79" s="21"/>
      <c r="D79" s="13">
        <f t="shared" si="1"/>
        <v>2753030491.5</v>
      </c>
      <c r="E79" s="23"/>
    </row>
    <row r="80" spans="1:5" ht="20.25" customHeight="1">
      <c r="A80" s="12">
        <v>76</v>
      </c>
      <c r="B80" s="20"/>
      <c r="C80" s="21"/>
      <c r="D80" s="13">
        <f t="shared" si="1"/>
        <v>2753030491.5</v>
      </c>
      <c r="E80" s="23"/>
    </row>
    <row r="81" spans="1:5" ht="20.25" customHeight="1">
      <c r="A81" s="12">
        <v>77</v>
      </c>
      <c r="B81" s="20"/>
      <c r="C81" s="21"/>
      <c r="D81" s="13">
        <f t="shared" si="1"/>
        <v>2753030491.5</v>
      </c>
      <c r="E81" s="23"/>
    </row>
    <row r="82" spans="1:5" ht="20.25" customHeight="1">
      <c r="A82" s="12">
        <v>78</v>
      </c>
      <c r="B82" s="20"/>
      <c r="C82" s="21"/>
      <c r="D82" s="13">
        <f t="shared" si="1"/>
        <v>2753030491.5</v>
      </c>
      <c r="E82" s="23"/>
    </row>
    <row r="83" spans="1:5" ht="20.25" customHeight="1">
      <c r="A83" s="12">
        <v>79</v>
      </c>
      <c r="B83" s="20"/>
      <c r="C83" s="21"/>
      <c r="D83" s="13">
        <f t="shared" si="1"/>
        <v>2753030491.5</v>
      </c>
      <c r="E83" s="23"/>
    </row>
    <row r="84" spans="1:5" ht="20.25" customHeight="1">
      <c r="A84" s="12">
        <v>80</v>
      </c>
      <c r="B84" s="20"/>
      <c r="C84" s="21"/>
      <c r="D84" s="13">
        <f t="shared" si="1"/>
        <v>2753030491.5</v>
      </c>
      <c r="E84" s="23"/>
    </row>
    <row r="85" spans="1:5" ht="20.25" customHeight="1">
      <c r="A85" s="12">
        <v>81</v>
      </c>
      <c r="B85" s="20"/>
      <c r="C85" s="21"/>
      <c r="D85" s="13">
        <f t="shared" si="1"/>
        <v>2753030491.5</v>
      </c>
      <c r="E85" s="23"/>
    </row>
    <row r="86" spans="1:5" ht="20.25" customHeight="1">
      <c r="A86" s="12">
        <v>82</v>
      </c>
      <c r="B86" s="20"/>
      <c r="C86" s="21"/>
      <c r="D86" s="13">
        <f t="shared" si="1"/>
        <v>2753030491.5</v>
      </c>
      <c r="E86" s="23"/>
    </row>
    <row r="87" spans="1:5" ht="20.25" customHeight="1">
      <c r="A87" s="12">
        <v>83</v>
      </c>
      <c r="B87" s="20"/>
      <c r="C87" s="21"/>
      <c r="D87" s="13">
        <f t="shared" si="1"/>
        <v>2753030491.5</v>
      </c>
      <c r="E87" s="23"/>
    </row>
    <row r="88" spans="1:5" ht="20.25" customHeight="1">
      <c r="A88" s="12">
        <v>84</v>
      </c>
      <c r="B88" s="20"/>
      <c r="C88" s="21"/>
      <c r="D88" s="13">
        <f t="shared" si="1"/>
        <v>2753030491.5</v>
      </c>
      <c r="E88" s="23"/>
    </row>
    <row r="89" spans="1:5" ht="20.25" customHeight="1">
      <c r="A89" s="12">
        <v>85</v>
      </c>
      <c r="B89" s="20"/>
      <c r="C89" s="21"/>
      <c r="D89" s="13">
        <f t="shared" si="1"/>
        <v>2753030491.5</v>
      </c>
      <c r="E89" s="23"/>
    </row>
    <row r="90" spans="1:5" ht="20.25" customHeight="1">
      <c r="A90" s="12">
        <v>86</v>
      </c>
      <c r="B90" s="20"/>
      <c r="C90" s="21"/>
      <c r="D90" s="13">
        <f t="shared" si="1"/>
        <v>2753030491.5</v>
      </c>
      <c r="E90" s="23"/>
    </row>
    <row r="91" spans="1:5" ht="20.25" customHeight="1">
      <c r="A91" s="12">
        <v>87</v>
      </c>
      <c r="B91" s="20"/>
      <c r="C91" s="21"/>
      <c r="D91" s="13">
        <f t="shared" si="1"/>
        <v>2753030491.5</v>
      </c>
      <c r="E91" s="23"/>
    </row>
    <row r="92" spans="1:5" ht="20.25" customHeight="1">
      <c r="A92" s="12">
        <v>88</v>
      </c>
      <c r="B92" s="20"/>
      <c r="C92" s="21"/>
      <c r="D92" s="13">
        <f t="shared" si="1"/>
        <v>2753030491.5</v>
      </c>
      <c r="E92" s="23"/>
    </row>
    <row r="93" spans="1:5" ht="20.25" customHeight="1">
      <c r="A93" s="12">
        <v>89</v>
      </c>
      <c r="B93" s="20"/>
      <c r="C93" s="21"/>
      <c r="D93" s="13">
        <f t="shared" si="1"/>
        <v>2753030491.5</v>
      </c>
      <c r="E93" s="23"/>
    </row>
    <row r="94" spans="1:5" ht="20.25" customHeight="1">
      <c r="A94" s="12">
        <v>90</v>
      </c>
      <c r="B94" s="20"/>
      <c r="C94" s="21"/>
      <c r="D94" s="13">
        <f t="shared" si="1"/>
        <v>2753030491.5</v>
      </c>
      <c r="E94" s="23"/>
    </row>
    <row r="95" spans="1:5" ht="20.25" customHeight="1">
      <c r="A95" s="12">
        <v>91</v>
      </c>
      <c r="B95" s="20"/>
      <c r="C95" s="21"/>
      <c r="D95" s="13">
        <f t="shared" si="1"/>
        <v>2753030491.5</v>
      </c>
      <c r="E95" s="23"/>
    </row>
    <row r="96" spans="1:5" ht="20.25" customHeight="1">
      <c r="A96" s="12">
        <v>92</v>
      </c>
      <c r="B96" s="20"/>
      <c r="C96" s="21"/>
      <c r="D96" s="13">
        <f t="shared" si="1"/>
        <v>2753030491.5</v>
      </c>
      <c r="E96" s="23"/>
    </row>
    <row r="97" spans="1:5" ht="20.25" customHeight="1">
      <c r="A97" s="12">
        <v>93</v>
      </c>
      <c r="B97" s="20"/>
      <c r="C97" s="21"/>
      <c r="D97" s="13">
        <f t="shared" si="1"/>
        <v>2753030491.5</v>
      </c>
      <c r="E97" s="23"/>
    </row>
    <row r="98" spans="1:5" ht="20.25" customHeight="1">
      <c r="A98" s="12">
        <v>94</v>
      </c>
      <c r="B98" s="20"/>
      <c r="C98" s="21"/>
      <c r="D98" s="13">
        <f t="shared" si="1"/>
        <v>2753030491.5</v>
      </c>
      <c r="E98" s="23"/>
    </row>
    <row r="99" spans="1:5" ht="20.25" customHeight="1">
      <c r="A99" s="12">
        <v>95</v>
      </c>
      <c r="B99" s="20"/>
      <c r="C99" s="21"/>
      <c r="D99" s="13">
        <f t="shared" si="1"/>
        <v>2753030491.5</v>
      </c>
      <c r="E99" s="23"/>
    </row>
    <row r="100" spans="1:5" ht="20.25" customHeight="1">
      <c r="A100" s="12">
        <v>96</v>
      </c>
      <c r="B100" s="20"/>
      <c r="C100" s="21"/>
      <c r="D100" s="13">
        <f t="shared" si="1"/>
        <v>2753030491.5</v>
      </c>
      <c r="E100" s="23"/>
    </row>
    <row r="101" spans="1:5" ht="20.25" customHeight="1">
      <c r="A101" s="12">
        <v>97</v>
      </c>
      <c r="B101" s="20"/>
      <c r="C101" s="21"/>
      <c r="D101" s="13">
        <f t="shared" si="1"/>
        <v>2753030491.5</v>
      </c>
      <c r="E101" s="23"/>
    </row>
    <row r="102" spans="1:5" ht="20.25" customHeight="1">
      <c r="A102" s="12">
        <v>98</v>
      </c>
      <c r="B102" s="20"/>
      <c r="C102" s="21"/>
      <c r="D102" s="13">
        <f t="shared" si="1"/>
        <v>2753030491.5</v>
      </c>
      <c r="E102" s="23"/>
    </row>
    <row r="103" spans="1:5" ht="20.25" customHeight="1">
      <c r="A103" s="12">
        <v>99</v>
      </c>
      <c r="B103" s="20"/>
      <c r="C103" s="21"/>
      <c r="D103" s="13">
        <f t="shared" si="1"/>
        <v>2753030491.5</v>
      </c>
      <c r="E103" s="23"/>
    </row>
    <row r="104" spans="1:5" ht="20.25" customHeight="1">
      <c r="A104" s="12">
        <v>100</v>
      </c>
      <c r="B104" s="20"/>
      <c r="C104" s="21"/>
      <c r="D104" s="13">
        <f t="shared" si="1"/>
        <v>2753030491.5</v>
      </c>
      <c r="E104" s="23"/>
    </row>
    <row r="105" spans="1:5" ht="20.25" customHeight="1">
      <c r="A105" s="12">
        <v>101</v>
      </c>
      <c r="B105" s="20"/>
      <c r="C105" s="21"/>
      <c r="D105" s="13">
        <f t="shared" si="1"/>
        <v>2753030491.5</v>
      </c>
      <c r="E105" s="23"/>
    </row>
    <row r="106" spans="1:5" ht="20.25" customHeight="1">
      <c r="A106" s="12">
        <v>102</v>
      </c>
      <c r="B106" s="20"/>
      <c r="C106" s="21"/>
      <c r="D106" s="13">
        <f t="shared" si="1"/>
        <v>2753030491.5</v>
      </c>
      <c r="E106" s="23"/>
    </row>
    <row r="107" spans="1:5" ht="20.25" customHeight="1">
      <c r="A107" s="12">
        <v>103</v>
      </c>
      <c r="B107" s="20"/>
      <c r="C107" s="21"/>
      <c r="D107" s="13">
        <f t="shared" si="1"/>
        <v>2753030491.5</v>
      </c>
      <c r="E107" s="23"/>
    </row>
    <row r="108" spans="1:5" ht="20.25" customHeight="1">
      <c r="A108" s="12">
        <v>104</v>
      </c>
      <c r="B108" s="20"/>
      <c r="C108" s="21"/>
      <c r="D108" s="13">
        <f t="shared" si="1"/>
        <v>2753030491.5</v>
      </c>
      <c r="E108" s="23"/>
    </row>
    <row r="109" spans="1:5" ht="20.25" customHeight="1">
      <c r="A109" s="12">
        <v>105</v>
      </c>
      <c r="B109" s="20"/>
      <c r="C109" s="21"/>
      <c r="D109" s="13">
        <f t="shared" si="1"/>
        <v>2753030491.5</v>
      </c>
      <c r="E109" s="23"/>
    </row>
    <row r="110" spans="1:5" ht="20.25" customHeight="1">
      <c r="A110" s="12">
        <v>106</v>
      </c>
      <c r="B110" s="20"/>
      <c r="C110" s="21"/>
      <c r="D110" s="13">
        <f t="shared" si="1"/>
        <v>2753030491.5</v>
      </c>
      <c r="E110" s="23"/>
    </row>
    <row r="111" spans="1:5" ht="20.25" customHeight="1">
      <c r="A111" s="12">
        <v>107</v>
      </c>
      <c r="B111" s="20"/>
      <c r="C111" s="21"/>
      <c r="D111" s="13">
        <f t="shared" si="1"/>
        <v>2753030491.5</v>
      </c>
      <c r="E111" s="23"/>
    </row>
    <row r="112" spans="1:5" ht="20.25" customHeight="1">
      <c r="A112" s="12">
        <v>108</v>
      </c>
      <c r="B112" s="20"/>
      <c r="C112" s="21"/>
      <c r="D112" s="13">
        <f t="shared" si="1"/>
        <v>2753030491.5</v>
      </c>
      <c r="E112" s="23"/>
    </row>
    <row r="113" spans="1:5" ht="20.25" customHeight="1">
      <c r="A113" s="12">
        <v>109</v>
      </c>
      <c r="B113" s="20"/>
      <c r="C113" s="21"/>
      <c r="D113" s="13">
        <f t="shared" si="1"/>
        <v>2753030491.5</v>
      </c>
      <c r="E113" s="23"/>
    </row>
    <row r="114" spans="1:5" ht="20.25" customHeight="1">
      <c r="A114" s="12">
        <v>110</v>
      </c>
      <c r="B114" s="20"/>
      <c r="C114" s="21"/>
      <c r="D114" s="13">
        <f t="shared" si="1"/>
        <v>2753030491.5</v>
      </c>
      <c r="E114" s="23"/>
    </row>
    <row r="115" spans="1:5" ht="20.25" customHeight="1">
      <c r="A115" s="12">
        <v>111</v>
      </c>
      <c r="B115" s="20"/>
      <c r="C115" s="21"/>
      <c r="D115" s="13">
        <f t="shared" si="1"/>
        <v>2753030491.5</v>
      </c>
      <c r="E115" s="23"/>
    </row>
    <row r="116" spans="1:5" ht="20.25" customHeight="1">
      <c r="A116" s="12">
        <v>112</v>
      </c>
      <c r="B116" s="20"/>
      <c r="C116" s="21"/>
      <c r="D116" s="13">
        <f t="shared" si="1"/>
        <v>2753030491.5</v>
      </c>
      <c r="E116" s="23"/>
    </row>
    <row r="117" spans="1:5" ht="20.25" customHeight="1">
      <c r="A117" s="12">
        <v>113</v>
      </c>
      <c r="B117" s="20"/>
      <c r="C117" s="21"/>
      <c r="D117" s="13">
        <f t="shared" si="1"/>
        <v>2753030491.5</v>
      </c>
      <c r="E117" s="23"/>
    </row>
    <row r="118" spans="1:5" ht="20.25" customHeight="1">
      <c r="A118" s="12">
        <v>114</v>
      </c>
      <c r="B118" s="20"/>
      <c r="C118" s="21"/>
      <c r="D118" s="13">
        <f t="shared" si="1"/>
        <v>2753030491.5</v>
      </c>
      <c r="E118" s="23"/>
    </row>
    <row r="119" spans="1:5" ht="20.25" customHeight="1">
      <c r="A119" s="12">
        <v>115</v>
      </c>
      <c r="B119" s="20"/>
      <c r="C119" s="21"/>
      <c r="D119" s="13">
        <f t="shared" si="1"/>
        <v>2753030491.5</v>
      </c>
      <c r="E119" s="23"/>
    </row>
    <row r="120" spans="1:5" ht="20.25" customHeight="1">
      <c r="A120" s="12">
        <v>116</v>
      </c>
      <c r="B120" s="20"/>
      <c r="C120" s="21"/>
      <c r="D120" s="13">
        <f t="shared" si="1"/>
        <v>2753030491.5</v>
      </c>
      <c r="E120" s="23"/>
    </row>
    <row r="121" spans="1:5" ht="20.25" customHeight="1">
      <c r="A121" s="12">
        <v>117</v>
      </c>
      <c r="B121" s="20"/>
      <c r="C121" s="21"/>
      <c r="D121" s="13">
        <f t="shared" si="1"/>
        <v>2753030491.5</v>
      </c>
      <c r="E121" s="23"/>
    </row>
    <row r="122" spans="1:5" ht="20.25" customHeight="1">
      <c r="A122" s="12">
        <v>118</v>
      </c>
      <c r="B122" s="20"/>
      <c r="C122" s="21"/>
      <c r="D122" s="13">
        <f t="shared" si="1"/>
        <v>2753030491.5</v>
      </c>
      <c r="E122" s="23"/>
    </row>
    <row r="123" spans="1:5" ht="20.25" customHeight="1">
      <c r="A123" s="12">
        <v>119</v>
      </c>
      <c r="B123" s="20"/>
      <c r="C123" s="21"/>
      <c r="D123" s="13">
        <f t="shared" si="1"/>
        <v>2753030491.5</v>
      </c>
      <c r="E123" s="23"/>
    </row>
    <row r="124" spans="1:5" ht="20.25" customHeight="1">
      <c r="A124" s="12">
        <v>120</v>
      </c>
      <c r="B124" s="20"/>
      <c r="C124" s="21"/>
      <c r="D124" s="13">
        <f t="shared" si="1"/>
        <v>2753030491.5</v>
      </c>
      <c r="E124" s="23"/>
    </row>
    <row r="125" spans="1:5" ht="20.25" customHeight="1">
      <c r="A125" s="12">
        <v>121</v>
      </c>
      <c r="B125" s="20"/>
      <c r="C125" s="21"/>
      <c r="D125" s="13">
        <f t="shared" si="1"/>
        <v>2753030491.5</v>
      </c>
      <c r="E125" s="23"/>
    </row>
    <row r="126" spans="1:5" ht="20.25" customHeight="1">
      <c r="A126" s="12">
        <v>122</v>
      </c>
      <c r="B126" s="20"/>
      <c r="C126" s="21"/>
      <c r="D126" s="13">
        <f t="shared" si="1"/>
        <v>2753030491.5</v>
      </c>
      <c r="E126" s="23"/>
    </row>
    <row r="127" spans="1:5" ht="20.25" customHeight="1">
      <c r="A127" s="12">
        <v>123</v>
      </c>
      <c r="B127" s="20"/>
      <c r="C127" s="21"/>
      <c r="D127" s="13">
        <f t="shared" si="1"/>
        <v>2753030491.5</v>
      </c>
      <c r="E127" s="23"/>
    </row>
    <row r="128" spans="1:5" ht="20.25" customHeight="1">
      <c r="A128" s="12">
        <v>124</v>
      </c>
      <c r="B128" s="20"/>
      <c r="C128" s="21"/>
      <c r="D128" s="13">
        <f t="shared" si="1"/>
        <v>2753030491.5</v>
      </c>
      <c r="E128" s="23"/>
    </row>
    <row r="129" spans="1:5" ht="20.25" customHeight="1">
      <c r="A129" s="12">
        <v>125</v>
      </c>
      <c r="B129" s="20"/>
      <c r="C129" s="21"/>
      <c r="D129" s="13">
        <f t="shared" si="1"/>
        <v>2753030491.5</v>
      </c>
      <c r="E129" s="23"/>
    </row>
    <row r="130" spans="1:5" ht="20.25" customHeight="1">
      <c r="A130" s="12">
        <v>126</v>
      </c>
      <c r="B130" s="20"/>
      <c r="C130" s="21"/>
      <c r="D130" s="13">
        <f t="shared" si="1"/>
        <v>2753030491.5</v>
      </c>
      <c r="E130" s="23"/>
    </row>
    <row r="131" spans="1:5" ht="20.25" customHeight="1">
      <c r="A131" s="12">
        <v>127</v>
      </c>
      <c r="B131" s="20"/>
      <c r="C131" s="21"/>
      <c r="D131" s="13">
        <f t="shared" si="1"/>
        <v>2753030491.5</v>
      </c>
      <c r="E131" s="23"/>
    </row>
    <row r="132" spans="1:5" ht="20.25" customHeight="1">
      <c r="A132" s="12">
        <v>128</v>
      </c>
      <c r="B132" s="20"/>
      <c r="C132" s="21"/>
      <c r="D132" s="13">
        <f t="shared" si="1"/>
        <v>2753030491.5</v>
      </c>
      <c r="E132" s="23"/>
    </row>
    <row r="133" spans="1:5" ht="20.25" customHeight="1">
      <c r="A133" s="12">
        <v>129</v>
      </c>
      <c r="B133" s="20"/>
      <c r="C133" s="21"/>
      <c r="D133" s="13">
        <f t="shared" si="1"/>
        <v>2753030491.5</v>
      </c>
      <c r="E133" s="23"/>
    </row>
    <row r="134" spans="1:5" ht="20.25" customHeight="1">
      <c r="A134" s="12">
        <v>130</v>
      </c>
      <c r="B134" s="20"/>
      <c r="C134" s="21"/>
      <c r="D134" s="13">
        <f t="shared" ref="D134:D197" si="2">D133+C134-B134</f>
        <v>2753030491.5</v>
      </c>
      <c r="E134" s="23"/>
    </row>
    <row r="135" spans="1:5" ht="20.25" customHeight="1">
      <c r="A135" s="12">
        <v>131</v>
      </c>
      <c r="B135" s="20"/>
      <c r="C135" s="21"/>
      <c r="D135" s="13">
        <f t="shared" si="2"/>
        <v>2753030491.5</v>
      </c>
      <c r="E135" s="23"/>
    </row>
    <row r="136" spans="1:5" ht="20.25" customHeight="1">
      <c r="A136" s="12">
        <v>132</v>
      </c>
      <c r="B136" s="20"/>
      <c r="C136" s="21"/>
      <c r="D136" s="13">
        <f t="shared" si="2"/>
        <v>2753030491.5</v>
      </c>
      <c r="E136" s="23"/>
    </row>
    <row r="137" spans="1:5" ht="20.25" customHeight="1">
      <c r="A137" s="12">
        <v>133</v>
      </c>
      <c r="B137" s="20"/>
      <c r="C137" s="21"/>
      <c r="D137" s="13">
        <f t="shared" si="2"/>
        <v>2753030491.5</v>
      </c>
      <c r="E137" s="23"/>
    </row>
    <row r="138" spans="1:5" ht="20.25" customHeight="1">
      <c r="A138" s="12">
        <v>134</v>
      </c>
      <c r="B138" s="20"/>
      <c r="C138" s="21"/>
      <c r="D138" s="13">
        <f t="shared" si="2"/>
        <v>2753030491.5</v>
      </c>
      <c r="E138" s="23"/>
    </row>
    <row r="139" spans="1:5" ht="20.25" customHeight="1">
      <c r="A139" s="12">
        <v>135</v>
      </c>
      <c r="B139" s="20"/>
      <c r="C139" s="21"/>
      <c r="D139" s="13">
        <f t="shared" si="2"/>
        <v>2753030491.5</v>
      </c>
      <c r="E139" s="23"/>
    </row>
    <row r="140" spans="1:5" ht="20.25" customHeight="1">
      <c r="A140" s="12">
        <v>136</v>
      </c>
      <c r="B140" s="20"/>
      <c r="C140" s="21"/>
      <c r="D140" s="13">
        <f t="shared" si="2"/>
        <v>2753030491.5</v>
      </c>
      <c r="E140" s="23"/>
    </row>
    <row r="141" spans="1:5" ht="20.25" customHeight="1">
      <c r="A141" s="12">
        <v>137</v>
      </c>
      <c r="B141" s="20"/>
      <c r="C141" s="21"/>
      <c r="D141" s="13">
        <f t="shared" si="2"/>
        <v>2753030491.5</v>
      </c>
      <c r="E141" s="23"/>
    </row>
    <row r="142" spans="1:5" ht="20.25" customHeight="1">
      <c r="A142" s="12">
        <v>138</v>
      </c>
      <c r="B142" s="20"/>
      <c r="C142" s="21"/>
      <c r="D142" s="13">
        <f t="shared" si="2"/>
        <v>2753030491.5</v>
      </c>
      <c r="E142" s="23"/>
    </row>
    <row r="143" spans="1:5" ht="20.25" customHeight="1">
      <c r="A143" s="12">
        <v>139</v>
      </c>
      <c r="B143" s="20"/>
      <c r="C143" s="21"/>
      <c r="D143" s="13">
        <f t="shared" si="2"/>
        <v>2753030491.5</v>
      </c>
      <c r="E143" s="23"/>
    </row>
    <row r="144" spans="1:5" ht="20.25" customHeight="1">
      <c r="A144" s="12">
        <v>140</v>
      </c>
      <c r="B144" s="20"/>
      <c r="C144" s="21"/>
      <c r="D144" s="13">
        <f t="shared" si="2"/>
        <v>2753030491.5</v>
      </c>
      <c r="E144" s="23"/>
    </row>
    <row r="145" spans="1:5" ht="20.25" customHeight="1">
      <c r="A145" s="12">
        <v>141</v>
      </c>
      <c r="B145" s="20"/>
      <c r="C145" s="21"/>
      <c r="D145" s="13">
        <f t="shared" si="2"/>
        <v>2753030491.5</v>
      </c>
      <c r="E145" s="23"/>
    </row>
    <row r="146" spans="1:5" ht="20.25" customHeight="1">
      <c r="A146" s="12">
        <v>142</v>
      </c>
      <c r="B146" s="20"/>
      <c r="C146" s="21"/>
      <c r="D146" s="13">
        <f t="shared" si="2"/>
        <v>2753030491.5</v>
      </c>
      <c r="E146" s="23"/>
    </row>
    <row r="147" spans="1:5" ht="20.25" customHeight="1">
      <c r="A147" s="12">
        <v>143</v>
      </c>
      <c r="B147" s="20"/>
      <c r="C147" s="21"/>
      <c r="D147" s="13">
        <f t="shared" si="2"/>
        <v>2753030491.5</v>
      </c>
      <c r="E147" s="23"/>
    </row>
    <row r="148" spans="1:5" ht="20.25" customHeight="1">
      <c r="A148" s="12">
        <v>144</v>
      </c>
      <c r="B148" s="20"/>
      <c r="C148" s="21"/>
      <c r="D148" s="13">
        <f t="shared" si="2"/>
        <v>2753030491.5</v>
      </c>
      <c r="E148" s="23"/>
    </row>
    <row r="149" spans="1:5" ht="20.25" customHeight="1">
      <c r="A149" s="12">
        <v>145</v>
      </c>
      <c r="B149" s="20"/>
      <c r="C149" s="21"/>
      <c r="D149" s="13">
        <f t="shared" si="2"/>
        <v>2753030491.5</v>
      </c>
      <c r="E149" s="23"/>
    </row>
    <row r="150" spans="1:5" ht="20.25" customHeight="1">
      <c r="A150" s="12">
        <v>146</v>
      </c>
      <c r="B150" s="20"/>
      <c r="C150" s="21"/>
      <c r="D150" s="13">
        <f t="shared" si="2"/>
        <v>2753030491.5</v>
      </c>
      <c r="E150" s="23"/>
    </row>
    <row r="151" spans="1:5" ht="20.25" customHeight="1">
      <c r="A151" s="12">
        <v>147</v>
      </c>
      <c r="B151" s="20"/>
      <c r="C151" s="21"/>
      <c r="D151" s="13">
        <f t="shared" si="2"/>
        <v>2753030491.5</v>
      </c>
      <c r="E151" s="23"/>
    </row>
    <row r="152" spans="1:5" ht="20.25" customHeight="1">
      <c r="A152" s="12">
        <v>148</v>
      </c>
      <c r="B152" s="20"/>
      <c r="C152" s="21"/>
      <c r="D152" s="13">
        <f t="shared" si="2"/>
        <v>2753030491.5</v>
      </c>
      <c r="E152" s="23"/>
    </row>
    <row r="153" spans="1:5" ht="20.25" customHeight="1">
      <c r="A153" s="12">
        <v>149</v>
      </c>
      <c r="B153" s="20"/>
      <c r="C153" s="21"/>
      <c r="D153" s="13">
        <f t="shared" si="2"/>
        <v>2753030491.5</v>
      </c>
      <c r="E153" s="23"/>
    </row>
    <row r="154" spans="1:5" ht="20.25" customHeight="1">
      <c r="A154" s="12">
        <v>150</v>
      </c>
      <c r="B154" s="20"/>
      <c r="C154" s="21"/>
      <c r="D154" s="13">
        <f t="shared" si="2"/>
        <v>2753030491.5</v>
      </c>
      <c r="E154" s="23"/>
    </row>
    <row r="155" spans="1:5" ht="20.25" customHeight="1">
      <c r="A155" s="12">
        <v>151</v>
      </c>
      <c r="B155" s="20"/>
      <c r="C155" s="21"/>
      <c r="D155" s="13">
        <f t="shared" si="2"/>
        <v>2753030491.5</v>
      </c>
      <c r="E155" s="23"/>
    </row>
    <row r="156" spans="1:5" ht="20.25" customHeight="1">
      <c r="A156" s="12">
        <v>152</v>
      </c>
      <c r="B156" s="20"/>
      <c r="C156" s="21"/>
      <c r="D156" s="13">
        <f t="shared" si="2"/>
        <v>2753030491.5</v>
      </c>
      <c r="E156" s="23"/>
    </row>
    <row r="157" spans="1:5" ht="20.25" customHeight="1">
      <c r="A157" s="12">
        <v>153</v>
      </c>
      <c r="B157" s="20"/>
      <c r="C157" s="21"/>
      <c r="D157" s="13">
        <f t="shared" si="2"/>
        <v>2753030491.5</v>
      </c>
      <c r="E157" s="23"/>
    </row>
    <row r="158" spans="1:5" ht="20.25" customHeight="1">
      <c r="A158" s="12">
        <v>154</v>
      </c>
      <c r="B158" s="20"/>
      <c r="C158" s="21"/>
      <c r="D158" s="13">
        <f t="shared" si="2"/>
        <v>2753030491.5</v>
      </c>
      <c r="E158" s="23"/>
    </row>
    <row r="159" spans="1:5" ht="20.25" customHeight="1">
      <c r="A159" s="12">
        <v>155</v>
      </c>
      <c r="B159" s="20"/>
      <c r="C159" s="21"/>
      <c r="D159" s="13">
        <f t="shared" si="2"/>
        <v>2753030491.5</v>
      </c>
      <c r="E159" s="23"/>
    </row>
    <row r="160" spans="1:5" ht="20.25" customHeight="1">
      <c r="A160" s="12">
        <v>156</v>
      </c>
      <c r="B160" s="20"/>
      <c r="C160" s="21"/>
      <c r="D160" s="13">
        <f t="shared" si="2"/>
        <v>2753030491.5</v>
      </c>
      <c r="E160" s="23"/>
    </row>
    <row r="161" spans="1:5" ht="20.25" customHeight="1">
      <c r="A161" s="12">
        <v>157</v>
      </c>
      <c r="B161" s="20"/>
      <c r="C161" s="21"/>
      <c r="D161" s="13">
        <f t="shared" si="2"/>
        <v>2753030491.5</v>
      </c>
      <c r="E161" s="23"/>
    </row>
    <row r="162" spans="1:5" ht="20.25" customHeight="1">
      <c r="A162" s="12">
        <v>158</v>
      </c>
      <c r="B162" s="20"/>
      <c r="C162" s="21"/>
      <c r="D162" s="13">
        <f t="shared" si="2"/>
        <v>2753030491.5</v>
      </c>
      <c r="E162" s="23"/>
    </row>
    <row r="163" spans="1:5" ht="20.25" customHeight="1">
      <c r="A163" s="12">
        <v>159</v>
      </c>
      <c r="B163" s="20"/>
      <c r="C163" s="21"/>
      <c r="D163" s="13">
        <f t="shared" si="2"/>
        <v>2753030491.5</v>
      </c>
      <c r="E163" s="23"/>
    </row>
    <row r="164" spans="1:5" ht="20.25" customHeight="1">
      <c r="A164" s="12">
        <v>160</v>
      </c>
      <c r="B164" s="20"/>
      <c r="C164" s="21"/>
      <c r="D164" s="13">
        <f t="shared" si="2"/>
        <v>2753030491.5</v>
      </c>
      <c r="E164" s="23"/>
    </row>
    <row r="165" spans="1:5" ht="20.25" customHeight="1">
      <c r="A165" s="12">
        <v>161</v>
      </c>
      <c r="B165" s="20"/>
      <c r="C165" s="21"/>
      <c r="D165" s="13">
        <f t="shared" si="2"/>
        <v>2753030491.5</v>
      </c>
      <c r="E165" s="23"/>
    </row>
    <row r="166" spans="1:5" ht="20.25" customHeight="1">
      <c r="A166" s="12">
        <v>162</v>
      </c>
      <c r="B166" s="20"/>
      <c r="C166" s="21"/>
      <c r="D166" s="13">
        <f t="shared" si="2"/>
        <v>2753030491.5</v>
      </c>
      <c r="E166" s="23"/>
    </row>
    <row r="167" spans="1:5" ht="20.25" customHeight="1">
      <c r="A167" s="12">
        <v>163</v>
      </c>
      <c r="B167" s="20"/>
      <c r="C167" s="21"/>
      <c r="D167" s="13">
        <f t="shared" si="2"/>
        <v>2753030491.5</v>
      </c>
      <c r="E167" s="23"/>
    </row>
    <row r="168" spans="1:5" ht="20.25" customHeight="1">
      <c r="A168" s="12">
        <v>164</v>
      </c>
      <c r="B168" s="20"/>
      <c r="C168" s="21"/>
      <c r="D168" s="13">
        <f t="shared" si="2"/>
        <v>2753030491.5</v>
      </c>
      <c r="E168" s="23"/>
    </row>
    <row r="169" spans="1:5" ht="20.25" customHeight="1">
      <c r="A169" s="12">
        <v>165</v>
      </c>
      <c r="B169" s="20"/>
      <c r="C169" s="21"/>
      <c r="D169" s="13">
        <f t="shared" si="2"/>
        <v>2753030491.5</v>
      </c>
      <c r="E169" s="23"/>
    </row>
    <row r="170" spans="1:5" ht="20.25" customHeight="1">
      <c r="A170" s="12">
        <v>166</v>
      </c>
      <c r="B170" s="20"/>
      <c r="C170" s="21"/>
      <c r="D170" s="13">
        <f t="shared" si="2"/>
        <v>2753030491.5</v>
      </c>
      <c r="E170" s="23"/>
    </row>
    <row r="171" spans="1:5" ht="20.25" customHeight="1">
      <c r="A171" s="12">
        <v>167</v>
      </c>
      <c r="B171" s="20"/>
      <c r="C171" s="21"/>
      <c r="D171" s="13">
        <f t="shared" si="2"/>
        <v>2753030491.5</v>
      </c>
      <c r="E171" s="23"/>
    </row>
    <row r="172" spans="1:5" ht="20.25" customHeight="1">
      <c r="A172" s="12">
        <v>168</v>
      </c>
      <c r="B172" s="20"/>
      <c r="C172" s="21"/>
      <c r="D172" s="13">
        <f t="shared" si="2"/>
        <v>2753030491.5</v>
      </c>
      <c r="E172" s="23"/>
    </row>
    <row r="173" spans="1:5" ht="20.25" customHeight="1">
      <c r="A173" s="12">
        <v>169</v>
      </c>
      <c r="B173" s="20"/>
      <c r="C173" s="21"/>
      <c r="D173" s="13">
        <f t="shared" si="2"/>
        <v>2753030491.5</v>
      </c>
      <c r="E173" s="23"/>
    </row>
    <row r="174" spans="1:5" ht="20.25" customHeight="1">
      <c r="A174" s="12">
        <v>170</v>
      </c>
      <c r="B174" s="20"/>
      <c r="C174" s="21"/>
      <c r="D174" s="13">
        <f t="shared" si="2"/>
        <v>2753030491.5</v>
      </c>
      <c r="E174" s="23"/>
    </row>
    <row r="175" spans="1:5" ht="20.25" customHeight="1">
      <c r="A175" s="12">
        <v>171</v>
      </c>
      <c r="B175" s="20"/>
      <c r="C175" s="21"/>
      <c r="D175" s="13">
        <f t="shared" si="2"/>
        <v>2753030491.5</v>
      </c>
      <c r="E175" s="23"/>
    </row>
    <row r="176" spans="1:5" ht="20.25" customHeight="1">
      <c r="A176" s="12">
        <v>172</v>
      </c>
      <c r="B176" s="20"/>
      <c r="C176" s="21"/>
      <c r="D176" s="13">
        <f t="shared" si="2"/>
        <v>2753030491.5</v>
      </c>
      <c r="E176" s="23"/>
    </row>
    <row r="177" spans="1:5" ht="20.25" customHeight="1">
      <c r="A177" s="12">
        <v>173</v>
      </c>
      <c r="B177" s="20"/>
      <c r="C177" s="21"/>
      <c r="D177" s="13">
        <f t="shared" si="2"/>
        <v>2753030491.5</v>
      </c>
      <c r="E177" s="23"/>
    </row>
    <row r="178" spans="1:5" ht="20.25" customHeight="1">
      <c r="A178" s="12">
        <v>174</v>
      </c>
      <c r="B178" s="20"/>
      <c r="C178" s="21"/>
      <c r="D178" s="13">
        <f t="shared" si="2"/>
        <v>2753030491.5</v>
      </c>
      <c r="E178" s="23"/>
    </row>
    <row r="179" spans="1:5" ht="20.25" customHeight="1">
      <c r="A179" s="12">
        <v>175</v>
      </c>
      <c r="B179" s="20"/>
      <c r="C179" s="21"/>
      <c r="D179" s="13">
        <f t="shared" si="2"/>
        <v>2753030491.5</v>
      </c>
      <c r="E179" s="23"/>
    </row>
    <row r="180" spans="1:5" ht="20.25" customHeight="1">
      <c r="A180" s="12">
        <v>176</v>
      </c>
      <c r="B180" s="20"/>
      <c r="C180" s="21"/>
      <c r="D180" s="13">
        <f t="shared" si="2"/>
        <v>2753030491.5</v>
      </c>
      <c r="E180" s="23"/>
    </row>
    <row r="181" spans="1:5" ht="20.25" customHeight="1">
      <c r="A181" s="12">
        <v>177</v>
      </c>
      <c r="B181" s="20"/>
      <c r="C181" s="21"/>
      <c r="D181" s="13">
        <f t="shared" si="2"/>
        <v>2753030491.5</v>
      </c>
      <c r="E181" s="23"/>
    </row>
    <row r="182" spans="1:5" ht="20.25" customHeight="1">
      <c r="A182" s="12">
        <v>178</v>
      </c>
      <c r="B182" s="20"/>
      <c r="C182" s="21"/>
      <c r="D182" s="13">
        <f t="shared" si="2"/>
        <v>2753030491.5</v>
      </c>
      <c r="E182" s="23"/>
    </row>
    <row r="183" spans="1:5" ht="20.25" customHeight="1">
      <c r="A183" s="12">
        <v>179</v>
      </c>
      <c r="B183" s="20"/>
      <c r="C183" s="21"/>
      <c r="D183" s="13">
        <f t="shared" si="2"/>
        <v>2753030491.5</v>
      </c>
      <c r="E183" s="23"/>
    </row>
    <row r="184" spans="1:5" ht="20.25" customHeight="1">
      <c r="A184" s="12">
        <v>180</v>
      </c>
      <c r="B184" s="20"/>
      <c r="C184" s="21"/>
      <c r="D184" s="13">
        <f t="shared" si="2"/>
        <v>2753030491.5</v>
      </c>
      <c r="E184" s="23"/>
    </row>
    <row r="185" spans="1:5" ht="20.25" customHeight="1">
      <c r="A185" s="12">
        <v>181</v>
      </c>
      <c r="B185" s="20"/>
      <c r="C185" s="21"/>
      <c r="D185" s="13">
        <f t="shared" si="2"/>
        <v>2753030491.5</v>
      </c>
      <c r="E185" s="23"/>
    </row>
    <row r="186" spans="1:5" ht="20.25" customHeight="1">
      <c r="A186" s="12">
        <v>182</v>
      </c>
      <c r="B186" s="20"/>
      <c r="C186" s="21"/>
      <c r="D186" s="13">
        <f t="shared" si="2"/>
        <v>2753030491.5</v>
      </c>
      <c r="E186" s="23"/>
    </row>
    <row r="187" spans="1:5" ht="20.25" customHeight="1">
      <c r="A187" s="12">
        <v>183</v>
      </c>
      <c r="B187" s="20"/>
      <c r="C187" s="21"/>
      <c r="D187" s="13">
        <f t="shared" si="2"/>
        <v>2753030491.5</v>
      </c>
      <c r="E187" s="23"/>
    </row>
    <row r="188" spans="1:5" ht="20.25" customHeight="1">
      <c r="A188" s="12">
        <v>184</v>
      </c>
      <c r="B188" s="20"/>
      <c r="C188" s="21"/>
      <c r="D188" s="13">
        <f t="shared" si="2"/>
        <v>2753030491.5</v>
      </c>
      <c r="E188" s="23"/>
    </row>
    <row r="189" spans="1:5" ht="20.25" customHeight="1">
      <c r="A189" s="12">
        <v>185</v>
      </c>
      <c r="B189" s="20"/>
      <c r="C189" s="21"/>
      <c r="D189" s="13">
        <f t="shared" si="2"/>
        <v>2753030491.5</v>
      </c>
      <c r="E189" s="23"/>
    </row>
    <row r="190" spans="1:5" ht="20.25" customHeight="1">
      <c r="A190" s="12">
        <v>186</v>
      </c>
      <c r="B190" s="20"/>
      <c r="C190" s="21"/>
      <c r="D190" s="13">
        <f t="shared" si="2"/>
        <v>2753030491.5</v>
      </c>
      <c r="E190" s="23"/>
    </row>
    <row r="191" spans="1:5" ht="20.25" customHeight="1">
      <c r="A191" s="12">
        <v>187</v>
      </c>
      <c r="B191" s="20"/>
      <c r="C191" s="21"/>
      <c r="D191" s="13">
        <f t="shared" si="2"/>
        <v>2753030491.5</v>
      </c>
      <c r="E191" s="23"/>
    </row>
    <row r="192" spans="1:5" ht="20.25" customHeight="1">
      <c r="A192" s="12">
        <v>188</v>
      </c>
      <c r="B192" s="20"/>
      <c r="C192" s="21"/>
      <c r="D192" s="13">
        <f t="shared" si="2"/>
        <v>2753030491.5</v>
      </c>
      <c r="E192" s="23"/>
    </row>
    <row r="193" spans="1:5" ht="20.25" customHeight="1">
      <c r="A193" s="12">
        <v>189</v>
      </c>
      <c r="B193" s="20"/>
      <c r="C193" s="21"/>
      <c r="D193" s="13">
        <f t="shared" si="2"/>
        <v>2753030491.5</v>
      </c>
      <c r="E193" s="23"/>
    </row>
    <row r="194" spans="1:5" ht="20.25" customHeight="1">
      <c r="A194" s="12">
        <v>190</v>
      </c>
      <c r="B194" s="20"/>
      <c r="C194" s="21"/>
      <c r="D194" s="13">
        <f t="shared" si="2"/>
        <v>2753030491.5</v>
      </c>
      <c r="E194" s="23"/>
    </row>
    <row r="195" spans="1:5" ht="20.25" customHeight="1">
      <c r="A195" s="12">
        <v>191</v>
      </c>
      <c r="B195" s="20"/>
      <c r="C195" s="21"/>
      <c r="D195" s="13">
        <f t="shared" si="2"/>
        <v>2753030491.5</v>
      </c>
      <c r="E195" s="23"/>
    </row>
    <row r="196" spans="1:5" ht="20.25" customHeight="1">
      <c r="A196" s="12">
        <v>192</v>
      </c>
      <c r="B196" s="20"/>
      <c r="C196" s="21"/>
      <c r="D196" s="13">
        <f t="shared" si="2"/>
        <v>2753030491.5</v>
      </c>
      <c r="E196" s="23"/>
    </row>
    <row r="197" spans="1:5" ht="20.25" customHeight="1">
      <c r="A197" s="12">
        <v>193</v>
      </c>
      <c r="B197" s="20"/>
      <c r="C197" s="21"/>
      <c r="D197" s="13">
        <f t="shared" si="2"/>
        <v>2753030491.5</v>
      </c>
      <c r="E197" s="23"/>
    </row>
    <row r="198" spans="1:5" ht="20.25" customHeight="1">
      <c r="A198" s="12">
        <v>194</v>
      </c>
      <c r="B198" s="20"/>
      <c r="C198" s="21"/>
      <c r="D198" s="13">
        <f t="shared" ref="D198:D261" si="3">D197+C198-B198</f>
        <v>2753030491.5</v>
      </c>
      <c r="E198" s="23"/>
    </row>
    <row r="199" spans="1:5" ht="20.25" customHeight="1">
      <c r="A199" s="12">
        <v>195</v>
      </c>
      <c r="B199" s="20"/>
      <c r="C199" s="21"/>
      <c r="D199" s="13">
        <f t="shared" si="3"/>
        <v>2753030491.5</v>
      </c>
      <c r="E199" s="23"/>
    </row>
    <row r="200" spans="1:5" ht="20.25" customHeight="1">
      <c r="A200" s="12">
        <v>196</v>
      </c>
      <c r="B200" s="20"/>
      <c r="C200" s="21"/>
      <c r="D200" s="13">
        <f t="shared" si="3"/>
        <v>2753030491.5</v>
      </c>
      <c r="E200" s="23"/>
    </row>
    <row r="201" spans="1:5" ht="20.25" customHeight="1">
      <c r="A201" s="12">
        <v>197</v>
      </c>
      <c r="B201" s="20"/>
      <c r="C201" s="21"/>
      <c r="D201" s="13">
        <f t="shared" si="3"/>
        <v>2753030491.5</v>
      </c>
      <c r="E201" s="23"/>
    </row>
    <row r="202" spans="1:5" ht="20.25" customHeight="1">
      <c r="A202" s="12">
        <v>198</v>
      </c>
      <c r="B202" s="20"/>
      <c r="C202" s="21"/>
      <c r="D202" s="13">
        <f t="shared" si="3"/>
        <v>2753030491.5</v>
      </c>
      <c r="E202" s="23"/>
    </row>
    <row r="203" spans="1:5" ht="20.25" customHeight="1">
      <c r="A203" s="12">
        <v>199</v>
      </c>
      <c r="B203" s="20"/>
      <c r="C203" s="21"/>
      <c r="D203" s="13">
        <f t="shared" si="3"/>
        <v>2753030491.5</v>
      </c>
      <c r="E203" s="23"/>
    </row>
    <row r="204" spans="1:5" ht="20.25" customHeight="1">
      <c r="A204" s="12">
        <v>200</v>
      </c>
      <c r="B204" s="20"/>
      <c r="C204" s="21"/>
      <c r="D204" s="13">
        <f t="shared" si="3"/>
        <v>2753030491.5</v>
      </c>
      <c r="E204" s="23"/>
    </row>
    <row r="205" spans="1:5" ht="20.25" customHeight="1">
      <c r="A205" s="12">
        <v>201</v>
      </c>
      <c r="B205" s="20"/>
      <c r="C205" s="21"/>
      <c r="D205" s="13">
        <f t="shared" si="3"/>
        <v>2753030491.5</v>
      </c>
      <c r="E205" s="23"/>
    </row>
    <row r="206" spans="1:5" ht="20.25" customHeight="1">
      <c r="A206" s="12">
        <v>202</v>
      </c>
      <c r="B206" s="20"/>
      <c r="C206" s="21"/>
      <c r="D206" s="13">
        <f t="shared" si="3"/>
        <v>2753030491.5</v>
      </c>
      <c r="E206" s="23"/>
    </row>
    <row r="207" spans="1:5" ht="20.25" customHeight="1">
      <c r="A207" s="12">
        <v>203</v>
      </c>
      <c r="B207" s="20"/>
      <c r="C207" s="21"/>
      <c r="D207" s="13">
        <f t="shared" si="3"/>
        <v>2753030491.5</v>
      </c>
      <c r="E207" s="23"/>
    </row>
    <row r="208" spans="1:5" ht="20.25" customHeight="1">
      <c r="A208" s="12">
        <v>204</v>
      </c>
      <c r="B208" s="20"/>
      <c r="C208" s="21"/>
      <c r="D208" s="13">
        <f t="shared" si="3"/>
        <v>2753030491.5</v>
      </c>
      <c r="E208" s="23"/>
    </row>
    <row r="209" spans="1:5" ht="20.25" customHeight="1">
      <c r="A209" s="12">
        <v>205</v>
      </c>
      <c r="B209" s="20"/>
      <c r="C209" s="21"/>
      <c r="D209" s="13">
        <f t="shared" si="3"/>
        <v>2753030491.5</v>
      </c>
      <c r="E209" s="23"/>
    </row>
    <row r="210" spans="1:5" ht="20.25" customHeight="1">
      <c r="A210" s="12">
        <v>206</v>
      </c>
      <c r="B210" s="20"/>
      <c r="C210" s="21"/>
      <c r="D210" s="13">
        <f t="shared" si="3"/>
        <v>2753030491.5</v>
      </c>
      <c r="E210" s="23"/>
    </row>
    <row r="211" spans="1:5" ht="20.25" customHeight="1">
      <c r="A211" s="12">
        <v>207</v>
      </c>
      <c r="B211" s="20"/>
      <c r="C211" s="21"/>
      <c r="D211" s="13">
        <f t="shared" si="3"/>
        <v>2753030491.5</v>
      </c>
      <c r="E211" s="23"/>
    </row>
    <row r="212" spans="1:5" ht="20.25" customHeight="1">
      <c r="A212" s="12">
        <v>208</v>
      </c>
      <c r="B212" s="20"/>
      <c r="C212" s="21"/>
      <c r="D212" s="13">
        <f t="shared" si="3"/>
        <v>2753030491.5</v>
      </c>
      <c r="E212" s="23"/>
    </row>
    <row r="213" spans="1:5" ht="20.25" customHeight="1">
      <c r="A213" s="12">
        <v>209</v>
      </c>
      <c r="B213" s="20"/>
      <c r="C213" s="21"/>
      <c r="D213" s="13">
        <f t="shared" si="3"/>
        <v>2753030491.5</v>
      </c>
      <c r="E213" s="23"/>
    </row>
    <row r="214" spans="1:5" ht="20.25" customHeight="1">
      <c r="A214" s="12">
        <v>210</v>
      </c>
      <c r="B214" s="20"/>
      <c r="C214" s="21"/>
      <c r="D214" s="13">
        <f t="shared" si="3"/>
        <v>2753030491.5</v>
      </c>
      <c r="E214" s="23"/>
    </row>
    <row r="215" spans="1:5" ht="20.25" customHeight="1">
      <c r="A215" s="12">
        <v>211</v>
      </c>
      <c r="B215" s="20"/>
      <c r="C215" s="21"/>
      <c r="D215" s="13">
        <f t="shared" si="3"/>
        <v>2753030491.5</v>
      </c>
      <c r="E215" s="23"/>
    </row>
    <row r="216" spans="1:5" ht="20.25" customHeight="1">
      <c r="A216" s="12">
        <v>212</v>
      </c>
      <c r="B216" s="20"/>
      <c r="C216" s="21"/>
      <c r="D216" s="13">
        <f t="shared" si="3"/>
        <v>2753030491.5</v>
      </c>
      <c r="E216" s="23"/>
    </row>
    <row r="217" spans="1:5" ht="20.25" customHeight="1">
      <c r="A217" s="12">
        <v>213</v>
      </c>
      <c r="B217" s="20"/>
      <c r="C217" s="21"/>
      <c r="D217" s="13">
        <f t="shared" si="3"/>
        <v>2753030491.5</v>
      </c>
      <c r="E217" s="23"/>
    </row>
    <row r="218" spans="1:5" ht="20.25" customHeight="1">
      <c r="A218" s="12">
        <v>214</v>
      </c>
      <c r="B218" s="20"/>
      <c r="C218" s="21"/>
      <c r="D218" s="13">
        <f t="shared" si="3"/>
        <v>2753030491.5</v>
      </c>
      <c r="E218" s="23"/>
    </row>
    <row r="219" spans="1:5" ht="20.25" customHeight="1">
      <c r="A219" s="12">
        <v>215</v>
      </c>
      <c r="B219" s="20"/>
      <c r="C219" s="21"/>
      <c r="D219" s="13">
        <f t="shared" si="3"/>
        <v>2753030491.5</v>
      </c>
      <c r="E219" s="23"/>
    </row>
    <row r="220" spans="1:5" ht="20.25" customHeight="1">
      <c r="A220" s="12">
        <v>216</v>
      </c>
      <c r="B220" s="20"/>
      <c r="C220" s="21"/>
      <c r="D220" s="13">
        <f t="shared" si="3"/>
        <v>2753030491.5</v>
      </c>
      <c r="E220" s="23"/>
    </row>
    <row r="221" spans="1:5" ht="20.25" customHeight="1">
      <c r="A221" s="12">
        <v>217</v>
      </c>
      <c r="B221" s="20"/>
      <c r="C221" s="21"/>
      <c r="D221" s="13">
        <f t="shared" si="3"/>
        <v>2753030491.5</v>
      </c>
      <c r="E221" s="23"/>
    </row>
    <row r="222" spans="1:5" ht="20.25" customHeight="1">
      <c r="A222" s="12">
        <v>218</v>
      </c>
      <c r="B222" s="20"/>
      <c r="C222" s="21"/>
      <c r="D222" s="13">
        <f t="shared" si="3"/>
        <v>2753030491.5</v>
      </c>
      <c r="E222" s="23"/>
    </row>
    <row r="223" spans="1:5" ht="20.25" customHeight="1">
      <c r="A223" s="12">
        <v>219</v>
      </c>
      <c r="B223" s="20"/>
      <c r="C223" s="21"/>
      <c r="D223" s="13">
        <f t="shared" si="3"/>
        <v>2753030491.5</v>
      </c>
      <c r="E223" s="23"/>
    </row>
    <row r="224" spans="1:5" ht="20.25" customHeight="1">
      <c r="A224" s="12">
        <v>220</v>
      </c>
      <c r="B224" s="20"/>
      <c r="C224" s="21"/>
      <c r="D224" s="13">
        <f t="shared" si="3"/>
        <v>2753030491.5</v>
      </c>
      <c r="E224" s="23"/>
    </row>
    <row r="225" spans="1:5" ht="20.25" customHeight="1">
      <c r="A225" s="12">
        <v>221</v>
      </c>
      <c r="B225" s="20"/>
      <c r="C225" s="21"/>
      <c r="D225" s="13">
        <f t="shared" si="3"/>
        <v>2753030491.5</v>
      </c>
      <c r="E225" s="23"/>
    </row>
    <row r="226" spans="1:5" ht="20.25" customHeight="1">
      <c r="A226" s="12">
        <v>222</v>
      </c>
      <c r="B226" s="20"/>
      <c r="C226" s="21"/>
      <c r="D226" s="13">
        <f t="shared" si="3"/>
        <v>2753030491.5</v>
      </c>
      <c r="E226" s="23"/>
    </row>
    <row r="227" spans="1:5" ht="20.25" customHeight="1">
      <c r="A227" s="12">
        <v>223</v>
      </c>
      <c r="B227" s="20"/>
      <c r="C227" s="21"/>
      <c r="D227" s="13">
        <f t="shared" si="3"/>
        <v>2753030491.5</v>
      </c>
      <c r="E227" s="23"/>
    </row>
    <row r="228" spans="1:5" ht="20.25" customHeight="1">
      <c r="A228" s="12">
        <v>224</v>
      </c>
      <c r="B228" s="20"/>
      <c r="C228" s="21"/>
      <c r="D228" s="13">
        <f t="shared" si="3"/>
        <v>2753030491.5</v>
      </c>
      <c r="E228" s="23"/>
    </row>
    <row r="229" spans="1:5" ht="20.25" customHeight="1">
      <c r="A229" s="12">
        <v>225</v>
      </c>
      <c r="B229" s="20"/>
      <c r="C229" s="21"/>
      <c r="D229" s="13">
        <f t="shared" si="3"/>
        <v>2753030491.5</v>
      </c>
      <c r="E229" s="23"/>
    </row>
    <row r="230" spans="1:5" ht="20.25" customHeight="1">
      <c r="A230" s="12">
        <v>226</v>
      </c>
      <c r="B230" s="20"/>
      <c r="C230" s="21"/>
      <c r="D230" s="13">
        <f t="shared" si="3"/>
        <v>2753030491.5</v>
      </c>
      <c r="E230" s="23"/>
    </row>
    <row r="231" spans="1:5" ht="20.25" customHeight="1">
      <c r="A231" s="12">
        <v>227</v>
      </c>
      <c r="B231" s="20"/>
      <c r="C231" s="21"/>
      <c r="D231" s="13">
        <f t="shared" si="3"/>
        <v>2753030491.5</v>
      </c>
      <c r="E231" s="23"/>
    </row>
    <row r="232" spans="1:5" ht="20.25" customHeight="1">
      <c r="A232" s="12">
        <v>228</v>
      </c>
      <c r="B232" s="20"/>
      <c r="C232" s="21"/>
      <c r="D232" s="13">
        <f t="shared" si="3"/>
        <v>2753030491.5</v>
      </c>
      <c r="E232" s="23"/>
    </row>
    <row r="233" spans="1:5" ht="20.25" customHeight="1">
      <c r="A233" s="12">
        <v>229</v>
      </c>
      <c r="B233" s="20"/>
      <c r="C233" s="21"/>
      <c r="D233" s="13">
        <f t="shared" si="3"/>
        <v>2753030491.5</v>
      </c>
      <c r="E233" s="23"/>
    </row>
    <row r="234" spans="1:5" ht="20.25" customHeight="1">
      <c r="A234" s="12">
        <v>230</v>
      </c>
      <c r="B234" s="20"/>
      <c r="C234" s="21"/>
      <c r="D234" s="13">
        <f t="shared" si="3"/>
        <v>2753030491.5</v>
      </c>
      <c r="E234" s="23"/>
    </row>
    <row r="235" spans="1:5" ht="20.25" customHeight="1">
      <c r="A235" s="12">
        <v>231</v>
      </c>
      <c r="B235" s="20"/>
      <c r="C235" s="21"/>
      <c r="D235" s="13">
        <f t="shared" si="3"/>
        <v>2753030491.5</v>
      </c>
      <c r="E235" s="23"/>
    </row>
    <row r="236" spans="1:5" ht="20.25" customHeight="1">
      <c r="A236" s="12">
        <v>232</v>
      </c>
      <c r="B236" s="20"/>
      <c r="C236" s="21"/>
      <c r="D236" s="13">
        <f t="shared" si="3"/>
        <v>2753030491.5</v>
      </c>
      <c r="E236" s="23"/>
    </row>
    <row r="237" spans="1:5" ht="20.25" customHeight="1">
      <c r="A237" s="12">
        <v>233</v>
      </c>
      <c r="B237" s="20"/>
      <c r="C237" s="21"/>
      <c r="D237" s="13">
        <f t="shared" si="3"/>
        <v>2753030491.5</v>
      </c>
      <c r="E237" s="23"/>
    </row>
    <row r="238" spans="1:5" ht="20.25" customHeight="1">
      <c r="A238" s="12">
        <v>234</v>
      </c>
      <c r="B238" s="20"/>
      <c r="C238" s="21"/>
      <c r="D238" s="13">
        <f t="shared" si="3"/>
        <v>2753030491.5</v>
      </c>
      <c r="E238" s="23"/>
    </row>
    <row r="239" spans="1:5" ht="20.25" customHeight="1">
      <c r="A239" s="12">
        <v>235</v>
      </c>
      <c r="B239" s="20"/>
      <c r="C239" s="21"/>
      <c r="D239" s="13">
        <f t="shared" si="3"/>
        <v>2753030491.5</v>
      </c>
      <c r="E239" s="23"/>
    </row>
    <row r="240" spans="1:5" ht="20.25" customHeight="1">
      <c r="A240" s="12">
        <v>236</v>
      </c>
      <c r="B240" s="20"/>
      <c r="C240" s="21"/>
      <c r="D240" s="13">
        <f t="shared" si="3"/>
        <v>2753030491.5</v>
      </c>
      <c r="E240" s="23"/>
    </row>
    <row r="241" spans="1:5" ht="20.25" customHeight="1">
      <c r="A241" s="12">
        <v>237</v>
      </c>
      <c r="B241" s="20"/>
      <c r="C241" s="21"/>
      <c r="D241" s="13">
        <f t="shared" si="3"/>
        <v>2753030491.5</v>
      </c>
      <c r="E241" s="23"/>
    </row>
    <row r="242" spans="1:5" ht="20.25" customHeight="1">
      <c r="A242" s="12">
        <v>238</v>
      </c>
      <c r="B242" s="20"/>
      <c r="C242" s="21"/>
      <c r="D242" s="13">
        <f t="shared" si="3"/>
        <v>2753030491.5</v>
      </c>
      <c r="E242" s="23"/>
    </row>
    <row r="243" spans="1:5" ht="20.25" customHeight="1">
      <c r="A243" s="12">
        <v>239</v>
      </c>
      <c r="B243" s="20"/>
      <c r="C243" s="21"/>
      <c r="D243" s="13">
        <f t="shared" si="3"/>
        <v>2753030491.5</v>
      </c>
      <c r="E243" s="23"/>
    </row>
    <row r="244" spans="1:5" ht="20.25" customHeight="1">
      <c r="A244" s="12">
        <v>240</v>
      </c>
      <c r="B244" s="20"/>
      <c r="C244" s="21"/>
      <c r="D244" s="13">
        <f t="shared" si="3"/>
        <v>2753030491.5</v>
      </c>
      <c r="E244" s="23"/>
    </row>
    <row r="245" spans="1:5" ht="20.25" customHeight="1">
      <c r="A245" s="12">
        <v>241</v>
      </c>
      <c r="B245" s="20"/>
      <c r="C245" s="21"/>
      <c r="D245" s="13">
        <f t="shared" si="3"/>
        <v>2753030491.5</v>
      </c>
      <c r="E245" s="23"/>
    </row>
    <row r="246" spans="1:5" ht="20.25" customHeight="1">
      <c r="A246" s="12">
        <v>242</v>
      </c>
      <c r="B246" s="20"/>
      <c r="C246" s="21"/>
      <c r="D246" s="13">
        <f t="shared" si="3"/>
        <v>2753030491.5</v>
      </c>
      <c r="E246" s="23"/>
    </row>
    <row r="247" spans="1:5" ht="20.25" customHeight="1">
      <c r="A247" s="12">
        <v>243</v>
      </c>
      <c r="B247" s="20"/>
      <c r="C247" s="21"/>
      <c r="D247" s="13">
        <f t="shared" si="3"/>
        <v>2753030491.5</v>
      </c>
      <c r="E247" s="23"/>
    </row>
    <row r="248" spans="1:5" ht="20.25" customHeight="1">
      <c r="A248" s="12">
        <v>244</v>
      </c>
      <c r="B248" s="20"/>
      <c r="C248" s="21"/>
      <c r="D248" s="13">
        <f t="shared" si="3"/>
        <v>2753030491.5</v>
      </c>
      <c r="E248" s="23"/>
    </row>
    <row r="249" spans="1:5" ht="20.25" customHeight="1">
      <c r="A249" s="12">
        <v>245</v>
      </c>
      <c r="B249" s="20"/>
      <c r="C249" s="21"/>
      <c r="D249" s="13">
        <f t="shared" si="3"/>
        <v>2753030491.5</v>
      </c>
      <c r="E249" s="23"/>
    </row>
    <row r="250" spans="1:5" ht="20.25" customHeight="1">
      <c r="A250" s="12">
        <v>246</v>
      </c>
      <c r="B250" s="20"/>
      <c r="C250" s="21"/>
      <c r="D250" s="13">
        <f t="shared" si="3"/>
        <v>2753030491.5</v>
      </c>
      <c r="E250" s="23"/>
    </row>
    <row r="251" spans="1:5" ht="20.25" customHeight="1">
      <c r="A251" s="12">
        <v>247</v>
      </c>
      <c r="B251" s="20"/>
      <c r="C251" s="21"/>
      <c r="D251" s="13">
        <f t="shared" si="3"/>
        <v>2753030491.5</v>
      </c>
      <c r="E251" s="23"/>
    </row>
    <row r="252" spans="1:5" ht="20.25" customHeight="1">
      <c r="A252" s="12">
        <v>248</v>
      </c>
      <c r="B252" s="20"/>
      <c r="C252" s="21"/>
      <c r="D252" s="13">
        <f t="shared" si="3"/>
        <v>2753030491.5</v>
      </c>
      <c r="E252" s="23"/>
    </row>
    <row r="253" spans="1:5" ht="20.25" customHeight="1">
      <c r="A253" s="12">
        <v>249</v>
      </c>
      <c r="B253" s="20"/>
      <c r="C253" s="21"/>
      <c r="D253" s="13">
        <f t="shared" si="3"/>
        <v>2753030491.5</v>
      </c>
      <c r="E253" s="23"/>
    </row>
    <row r="254" spans="1:5" ht="20.25" customHeight="1">
      <c r="A254" s="12">
        <v>250</v>
      </c>
      <c r="B254" s="20"/>
      <c r="C254" s="21"/>
      <c r="D254" s="13">
        <f t="shared" si="3"/>
        <v>2753030491.5</v>
      </c>
      <c r="E254" s="23"/>
    </row>
    <row r="255" spans="1:5" ht="20.25" customHeight="1">
      <c r="A255" s="12">
        <v>251</v>
      </c>
      <c r="B255" s="20"/>
      <c r="C255" s="21"/>
      <c r="D255" s="13">
        <f t="shared" si="3"/>
        <v>2753030491.5</v>
      </c>
      <c r="E255" s="23"/>
    </row>
    <row r="256" spans="1:5" ht="20.25" customHeight="1">
      <c r="A256" s="12">
        <v>252</v>
      </c>
      <c r="B256" s="20"/>
      <c r="C256" s="21"/>
      <c r="D256" s="13">
        <f t="shared" si="3"/>
        <v>2753030491.5</v>
      </c>
      <c r="E256" s="23"/>
    </row>
    <row r="257" spans="1:5" ht="20.25" customHeight="1">
      <c r="A257" s="12">
        <v>253</v>
      </c>
      <c r="B257" s="20"/>
      <c r="C257" s="21"/>
      <c r="D257" s="13">
        <f t="shared" si="3"/>
        <v>2753030491.5</v>
      </c>
      <c r="E257" s="23"/>
    </row>
    <row r="258" spans="1:5" ht="20.25" customHeight="1">
      <c r="A258" s="12">
        <v>254</v>
      </c>
      <c r="B258" s="20"/>
      <c r="C258" s="21"/>
      <c r="D258" s="13">
        <f t="shared" si="3"/>
        <v>2753030491.5</v>
      </c>
      <c r="E258" s="23"/>
    </row>
    <row r="259" spans="1:5" ht="20.25" customHeight="1">
      <c r="A259" s="12">
        <v>255</v>
      </c>
      <c r="B259" s="20"/>
      <c r="C259" s="21"/>
      <c r="D259" s="13">
        <f t="shared" si="3"/>
        <v>2753030491.5</v>
      </c>
      <c r="E259" s="23"/>
    </row>
    <row r="260" spans="1:5" ht="20.25" customHeight="1">
      <c r="A260" s="12">
        <v>256</v>
      </c>
      <c r="B260" s="20"/>
      <c r="C260" s="21"/>
      <c r="D260" s="13">
        <f t="shared" si="3"/>
        <v>2753030491.5</v>
      </c>
      <c r="E260" s="23"/>
    </row>
    <row r="261" spans="1:5" ht="20.25" customHeight="1">
      <c r="A261" s="12">
        <v>257</v>
      </c>
      <c r="B261" s="20"/>
      <c r="C261" s="21"/>
      <c r="D261" s="13">
        <f t="shared" si="3"/>
        <v>2753030491.5</v>
      </c>
      <c r="E261" s="23"/>
    </row>
    <row r="262" spans="1:5" ht="20.25" customHeight="1">
      <c r="A262" s="12">
        <v>258</v>
      </c>
      <c r="B262" s="20"/>
      <c r="C262" s="21"/>
      <c r="D262" s="13">
        <f t="shared" ref="D262:D304" si="4">D261+C262-B262</f>
        <v>2753030491.5</v>
      </c>
      <c r="E262" s="23"/>
    </row>
    <row r="263" spans="1:5" ht="20.25" customHeight="1">
      <c r="A263" s="12">
        <v>259</v>
      </c>
      <c r="B263" s="20"/>
      <c r="C263" s="21"/>
      <c r="D263" s="13">
        <f t="shared" si="4"/>
        <v>2753030491.5</v>
      </c>
      <c r="E263" s="23"/>
    </row>
    <row r="264" spans="1:5" ht="20.25" customHeight="1">
      <c r="A264" s="12">
        <v>260</v>
      </c>
      <c r="B264" s="20"/>
      <c r="C264" s="21"/>
      <c r="D264" s="13">
        <f t="shared" si="4"/>
        <v>2753030491.5</v>
      </c>
      <c r="E264" s="23"/>
    </row>
    <row r="265" spans="1:5" ht="20.25" customHeight="1">
      <c r="A265" s="12">
        <v>261</v>
      </c>
      <c r="B265" s="20"/>
      <c r="C265" s="21"/>
      <c r="D265" s="13">
        <f t="shared" si="4"/>
        <v>2753030491.5</v>
      </c>
      <c r="E265" s="23"/>
    </row>
    <row r="266" spans="1:5" ht="20.25" customHeight="1">
      <c r="A266" s="12">
        <v>262</v>
      </c>
      <c r="B266" s="20"/>
      <c r="C266" s="21"/>
      <c r="D266" s="13">
        <f t="shared" si="4"/>
        <v>2753030491.5</v>
      </c>
      <c r="E266" s="23"/>
    </row>
    <row r="267" spans="1:5" ht="20.25" customHeight="1">
      <c r="A267" s="12">
        <v>263</v>
      </c>
      <c r="B267" s="20"/>
      <c r="C267" s="21"/>
      <c r="D267" s="13">
        <f t="shared" si="4"/>
        <v>2753030491.5</v>
      </c>
      <c r="E267" s="23"/>
    </row>
    <row r="268" spans="1:5" ht="20.25" customHeight="1">
      <c r="A268" s="12">
        <v>264</v>
      </c>
      <c r="B268" s="20"/>
      <c r="C268" s="21"/>
      <c r="D268" s="13">
        <f t="shared" si="4"/>
        <v>2753030491.5</v>
      </c>
      <c r="E268" s="23"/>
    </row>
    <row r="269" spans="1:5" ht="20.25" customHeight="1">
      <c r="A269" s="12">
        <v>265</v>
      </c>
      <c r="B269" s="20"/>
      <c r="C269" s="21"/>
      <c r="D269" s="13">
        <f t="shared" si="4"/>
        <v>2753030491.5</v>
      </c>
      <c r="E269" s="23"/>
    </row>
    <row r="270" spans="1:5" ht="20.25" customHeight="1">
      <c r="A270" s="12">
        <v>266</v>
      </c>
      <c r="B270" s="20"/>
      <c r="C270" s="21"/>
      <c r="D270" s="13">
        <f t="shared" si="4"/>
        <v>2753030491.5</v>
      </c>
      <c r="E270" s="23"/>
    </row>
    <row r="271" spans="1:5" ht="20.25" customHeight="1">
      <c r="A271" s="12">
        <v>267</v>
      </c>
      <c r="B271" s="20"/>
      <c r="C271" s="21"/>
      <c r="D271" s="13">
        <f t="shared" si="4"/>
        <v>2753030491.5</v>
      </c>
      <c r="E271" s="23"/>
    </row>
    <row r="272" spans="1:5" ht="20.25" customHeight="1">
      <c r="A272" s="12">
        <v>268</v>
      </c>
      <c r="B272" s="20"/>
      <c r="C272" s="21"/>
      <c r="D272" s="13">
        <f t="shared" si="4"/>
        <v>2753030491.5</v>
      </c>
      <c r="E272" s="23"/>
    </row>
    <row r="273" spans="1:5" ht="20.25" customHeight="1">
      <c r="A273" s="12">
        <v>269</v>
      </c>
      <c r="B273" s="20"/>
      <c r="C273" s="21"/>
      <c r="D273" s="13">
        <f t="shared" si="4"/>
        <v>2753030491.5</v>
      </c>
      <c r="E273" s="23"/>
    </row>
    <row r="274" spans="1:5" ht="20.25" customHeight="1">
      <c r="A274" s="12">
        <v>270</v>
      </c>
      <c r="B274" s="20"/>
      <c r="C274" s="21"/>
      <c r="D274" s="13">
        <f t="shared" si="4"/>
        <v>2753030491.5</v>
      </c>
      <c r="E274" s="23"/>
    </row>
    <row r="275" spans="1:5" ht="20.25" customHeight="1">
      <c r="A275" s="12">
        <v>271</v>
      </c>
      <c r="B275" s="20"/>
      <c r="C275" s="21"/>
      <c r="D275" s="13">
        <f t="shared" si="4"/>
        <v>2753030491.5</v>
      </c>
      <c r="E275" s="23"/>
    </row>
    <row r="276" spans="1:5" ht="20.25" customHeight="1">
      <c r="A276" s="12">
        <v>272</v>
      </c>
      <c r="B276" s="20"/>
      <c r="C276" s="21"/>
      <c r="D276" s="13">
        <f t="shared" si="4"/>
        <v>2753030491.5</v>
      </c>
      <c r="E276" s="23"/>
    </row>
    <row r="277" spans="1:5" ht="20.25" customHeight="1">
      <c r="A277" s="12">
        <v>273</v>
      </c>
      <c r="B277" s="20"/>
      <c r="C277" s="21"/>
      <c r="D277" s="13">
        <f t="shared" si="4"/>
        <v>2753030491.5</v>
      </c>
      <c r="E277" s="23"/>
    </row>
    <row r="278" spans="1:5" ht="20.25" customHeight="1">
      <c r="A278" s="12">
        <v>274</v>
      </c>
      <c r="B278" s="20"/>
      <c r="C278" s="21"/>
      <c r="D278" s="13">
        <f t="shared" si="4"/>
        <v>2753030491.5</v>
      </c>
      <c r="E278" s="23"/>
    </row>
    <row r="279" spans="1:5" ht="20.25" customHeight="1">
      <c r="A279" s="12">
        <v>275</v>
      </c>
      <c r="B279" s="20"/>
      <c r="C279" s="21"/>
      <c r="D279" s="13">
        <f t="shared" si="4"/>
        <v>2753030491.5</v>
      </c>
      <c r="E279" s="23"/>
    </row>
    <row r="280" spans="1:5" ht="20.25" customHeight="1">
      <c r="A280" s="12">
        <v>276</v>
      </c>
      <c r="B280" s="20"/>
      <c r="C280" s="21"/>
      <c r="D280" s="13">
        <f t="shared" si="4"/>
        <v>2753030491.5</v>
      </c>
      <c r="E280" s="23"/>
    </row>
    <row r="281" spans="1:5" ht="20.25" customHeight="1">
      <c r="A281" s="12">
        <v>277</v>
      </c>
      <c r="B281" s="20"/>
      <c r="C281" s="21"/>
      <c r="D281" s="13">
        <f t="shared" si="4"/>
        <v>2753030491.5</v>
      </c>
      <c r="E281" s="23"/>
    </row>
    <row r="282" spans="1:5" ht="20.25" customHeight="1">
      <c r="A282" s="12">
        <v>278</v>
      </c>
      <c r="B282" s="20"/>
      <c r="C282" s="21"/>
      <c r="D282" s="13">
        <f t="shared" si="4"/>
        <v>2753030491.5</v>
      </c>
      <c r="E282" s="23"/>
    </row>
    <row r="283" spans="1:5" ht="20.25" customHeight="1">
      <c r="A283" s="12">
        <v>279</v>
      </c>
      <c r="B283" s="20"/>
      <c r="C283" s="21"/>
      <c r="D283" s="13">
        <f t="shared" si="4"/>
        <v>2753030491.5</v>
      </c>
      <c r="E283" s="23"/>
    </row>
    <row r="284" spans="1:5" ht="20.25" customHeight="1">
      <c r="A284" s="12">
        <v>280</v>
      </c>
      <c r="B284" s="20"/>
      <c r="C284" s="21"/>
      <c r="D284" s="13">
        <f t="shared" si="4"/>
        <v>2753030491.5</v>
      </c>
      <c r="E284" s="23"/>
    </row>
    <row r="285" spans="1:5" ht="20.25" customHeight="1">
      <c r="A285" s="12">
        <v>281</v>
      </c>
      <c r="B285" s="20"/>
      <c r="C285" s="21"/>
      <c r="D285" s="13">
        <f t="shared" si="4"/>
        <v>2753030491.5</v>
      </c>
      <c r="E285" s="23"/>
    </row>
    <row r="286" spans="1:5" ht="20.25" customHeight="1">
      <c r="A286" s="12">
        <v>282</v>
      </c>
      <c r="B286" s="20"/>
      <c r="C286" s="21"/>
      <c r="D286" s="13">
        <f t="shared" si="4"/>
        <v>2753030491.5</v>
      </c>
      <c r="E286" s="23"/>
    </row>
    <row r="287" spans="1:5" ht="20.25" customHeight="1">
      <c r="A287" s="12">
        <v>283</v>
      </c>
      <c r="B287" s="20"/>
      <c r="C287" s="21"/>
      <c r="D287" s="13">
        <f t="shared" si="4"/>
        <v>2753030491.5</v>
      </c>
      <c r="E287" s="23"/>
    </row>
    <row r="288" spans="1:5" ht="20.25" customHeight="1">
      <c r="A288" s="12">
        <v>284</v>
      </c>
      <c r="B288" s="20"/>
      <c r="C288" s="21"/>
      <c r="D288" s="13">
        <f t="shared" si="4"/>
        <v>2753030491.5</v>
      </c>
      <c r="E288" s="23"/>
    </row>
    <row r="289" spans="1:5" ht="20.25" customHeight="1">
      <c r="A289" s="12">
        <v>285</v>
      </c>
      <c r="B289" s="20"/>
      <c r="C289" s="21"/>
      <c r="D289" s="13">
        <f t="shared" si="4"/>
        <v>2753030491.5</v>
      </c>
      <c r="E289" s="23"/>
    </row>
    <row r="290" spans="1:5" ht="20.25" customHeight="1">
      <c r="A290" s="12">
        <v>286</v>
      </c>
      <c r="B290" s="20"/>
      <c r="C290" s="21"/>
      <c r="D290" s="13">
        <f t="shared" si="4"/>
        <v>2753030491.5</v>
      </c>
      <c r="E290" s="23"/>
    </row>
    <row r="291" spans="1:5" ht="20.25" customHeight="1">
      <c r="A291" s="12">
        <v>287</v>
      </c>
      <c r="B291" s="20"/>
      <c r="C291" s="21"/>
      <c r="D291" s="13">
        <f t="shared" si="4"/>
        <v>2753030491.5</v>
      </c>
      <c r="E291" s="23"/>
    </row>
    <row r="292" spans="1:5" ht="20.25" customHeight="1">
      <c r="A292" s="12">
        <v>288</v>
      </c>
      <c r="B292" s="20"/>
      <c r="C292" s="21"/>
      <c r="D292" s="13">
        <f t="shared" si="4"/>
        <v>2753030491.5</v>
      </c>
      <c r="E292" s="23"/>
    </row>
    <row r="293" spans="1:5" ht="20.25" customHeight="1">
      <c r="A293" s="12">
        <v>289</v>
      </c>
      <c r="B293" s="20"/>
      <c r="C293" s="21"/>
      <c r="D293" s="13">
        <f t="shared" si="4"/>
        <v>2753030491.5</v>
      </c>
      <c r="E293" s="23"/>
    </row>
    <row r="294" spans="1:5" ht="20.25" customHeight="1">
      <c r="A294" s="12">
        <v>290</v>
      </c>
      <c r="B294" s="20"/>
      <c r="C294" s="21"/>
      <c r="D294" s="13">
        <f t="shared" si="4"/>
        <v>2753030491.5</v>
      </c>
      <c r="E294" s="23"/>
    </row>
    <row r="295" spans="1:5" ht="20.25" customHeight="1">
      <c r="A295" s="12">
        <v>291</v>
      </c>
      <c r="B295" s="20"/>
      <c r="C295" s="21"/>
      <c r="D295" s="13">
        <f t="shared" si="4"/>
        <v>2753030491.5</v>
      </c>
      <c r="E295" s="23"/>
    </row>
    <row r="296" spans="1:5" ht="20.25" customHeight="1">
      <c r="A296" s="12">
        <v>292</v>
      </c>
      <c r="B296" s="20"/>
      <c r="C296" s="21"/>
      <c r="D296" s="13">
        <f t="shared" si="4"/>
        <v>2753030491.5</v>
      </c>
      <c r="E296" s="23"/>
    </row>
    <row r="297" spans="1:5" ht="20.25" customHeight="1">
      <c r="A297" s="12">
        <v>293</v>
      </c>
      <c r="B297" s="20"/>
      <c r="C297" s="21"/>
      <c r="D297" s="13">
        <f t="shared" si="4"/>
        <v>2753030491.5</v>
      </c>
      <c r="E297" s="23"/>
    </row>
    <row r="298" spans="1:5" ht="20.25" customHeight="1">
      <c r="A298" s="12">
        <v>294</v>
      </c>
      <c r="B298" s="20"/>
      <c r="C298" s="21"/>
      <c r="D298" s="13">
        <f t="shared" si="4"/>
        <v>2753030491.5</v>
      </c>
      <c r="E298" s="23"/>
    </row>
    <row r="299" spans="1:5" ht="20.25" customHeight="1">
      <c r="A299" s="12">
        <v>295</v>
      </c>
      <c r="B299" s="20"/>
      <c r="C299" s="21"/>
      <c r="D299" s="13">
        <f t="shared" si="4"/>
        <v>2753030491.5</v>
      </c>
      <c r="E299" s="23"/>
    </row>
    <row r="300" spans="1:5" ht="20.25" customHeight="1">
      <c r="A300" s="12">
        <v>296</v>
      </c>
      <c r="B300" s="20"/>
      <c r="C300" s="21"/>
      <c r="D300" s="13">
        <f t="shared" si="4"/>
        <v>2753030491.5</v>
      </c>
      <c r="E300" s="23"/>
    </row>
    <row r="301" spans="1:5" ht="20.25" customHeight="1">
      <c r="A301" s="12">
        <v>297</v>
      </c>
      <c r="B301" s="20"/>
      <c r="C301" s="21"/>
      <c r="D301" s="13">
        <f t="shared" si="4"/>
        <v>2753030491.5</v>
      </c>
      <c r="E301" s="23"/>
    </row>
    <row r="302" spans="1:5" ht="20.25" customHeight="1">
      <c r="A302" s="12">
        <v>298</v>
      </c>
      <c r="B302" s="20"/>
      <c r="C302" s="21"/>
      <c r="D302" s="13">
        <f t="shared" si="4"/>
        <v>2753030491.5</v>
      </c>
      <c r="E302" s="23"/>
    </row>
    <row r="303" spans="1:5" ht="20.25" customHeight="1">
      <c r="A303" s="12">
        <v>299</v>
      </c>
      <c r="B303" s="20"/>
      <c r="C303" s="21"/>
      <c r="D303" s="13">
        <f t="shared" si="4"/>
        <v>2753030491.5</v>
      </c>
      <c r="E303" s="23"/>
    </row>
    <row r="304" spans="1:5" ht="20.25" customHeight="1">
      <c r="A304" s="12">
        <v>300</v>
      </c>
      <c r="B304" s="20"/>
      <c r="C304" s="21"/>
      <c r="D304" s="13">
        <f t="shared" si="4"/>
        <v>2753030491.5</v>
      </c>
      <c r="E304" s="23"/>
    </row>
  </sheetData>
  <sheetProtection sheet="1" objects="1" scenarios="1"/>
  <mergeCells count="2">
    <mergeCell ref="A4:C4"/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hidden_var</vt:lpstr>
      <vt:lpstr>figure to word</vt:lpstr>
      <vt:lpstr>deno tr tool</vt:lpstr>
      <vt:lpstr>trial tool</vt:lpstr>
      <vt:lpstr>credit</vt:lpstr>
      <vt:lpstr>debit</vt:lpstr>
      <vt:lpstr>n_type</vt:lpstr>
      <vt:lpstr>Note_Type</vt:lpstr>
      <vt:lpstr>Note_Type_old</vt:lpstr>
      <vt:lpstr>Notes</vt:lpstr>
      <vt:lpstr>Notes_Type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Chit Ko Ko Oo</cp:lastModifiedBy>
  <dcterms:created xsi:type="dcterms:W3CDTF">2006-09-16T00:00:00Z</dcterms:created>
  <dcterms:modified xsi:type="dcterms:W3CDTF">2020-06-03T08:50:23Z</dcterms:modified>
</cp:coreProperties>
</file>